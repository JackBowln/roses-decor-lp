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ROSES DECOR 2024\ORÇAMENTO 2\"/>
    </mc:Choice>
  </mc:AlternateContent>
  <bookViews>
    <workbookView xWindow="0" yWindow="0" windowWidth="23040" windowHeight="10332"/>
  </bookViews>
  <sheets>
    <sheet name="MEMÓRIA DE CÁLCULO" sheetId="3" r:id="rId1"/>
    <sheet name="ORÇAMENTO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B15" i="5"/>
  <c r="B13" i="5"/>
  <c r="B14" i="5"/>
  <c r="B12" i="5"/>
  <c r="B11" i="5"/>
  <c r="A13" i="5"/>
  <c r="A12" i="5"/>
  <c r="A11" i="5"/>
  <c r="S16" i="3"/>
  <c r="N16" i="3"/>
  <c r="AR18" i="3" l="1"/>
  <c r="AR17" i="3"/>
  <c r="AR16" i="3"/>
  <c r="AR15" i="3"/>
  <c r="AR14" i="3"/>
  <c r="AR13" i="3"/>
  <c r="AR12" i="3"/>
  <c r="AR11" i="3"/>
  <c r="AM18" i="3"/>
  <c r="AM17" i="3"/>
  <c r="AM16" i="3"/>
  <c r="AM15" i="3"/>
  <c r="AM14" i="3"/>
  <c r="AM13" i="3"/>
  <c r="AM12" i="3"/>
  <c r="AM11" i="3"/>
  <c r="AH18" i="3"/>
  <c r="AH17" i="3"/>
  <c r="AH16" i="3"/>
  <c r="AH15" i="3"/>
  <c r="AH14" i="3"/>
  <c r="AH13" i="3"/>
  <c r="AH12" i="3"/>
  <c r="AH11" i="3"/>
  <c r="AC18" i="3"/>
  <c r="AC17" i="3"/>
  <c r="AC16" i="3"/>
  <c r="AC15" i="3"/>
  <c r="AC14" i="3"/>
  <c r="AC13" i="3"/>
  <c r="AC12" i="3"/>
  <c r="AC11" i="3"/>
  <c r="X18" i="3"/>
  <c r="X17" i="3"/>
  <c r="X16" i="3"/>
  <c r="X15" i="3"/>
  <c r="X14" i="3"/>
  <c r="X13" i="3"/>
  <c r="X12" i="3"/>
  <c r="X11" i="3"/>
  <c r="S18" i="3"/>
  <c r="S17" i="3"/>
  <c r="S15" i="3"/>
  <c r="S14" i="3"/>
  <c r="S13" i="3"/>
  <c r="S12" i="3"/>
  <c r="S11" i="3"/>
  <c r="N18" i="3"/>
  <c r="N15" i="3"/>
  <c r="R23" i="3" l="1"/>
  <c r="W23" i="3"/>
  <c r="I18" i="3"/>
  <c r="I15" i="3"/>
  <c r="I12" i="3" l="1"/>
  <c r="AQ23" i="3" l="1"/>
  <c r="AQ27" i="3" s="1"/>
  <c r="AL23" i="3"/>
  <c r="AL27" i="3" s="1"/>
  <c r="N11" i="3"/>
  <c r="N12" i="3"/>
  <c r="N13" i="3"/>
  <c r="N14" i="3"/>
  <c r="N17" i="3"/>
  <c r="I16" i="3"/>
  <c r="I17" i="3"/>
  <c r="A15" i="5"/>
  <c r="A14" i="5"/>
  <c r="I14" i="3"/>
  <c r="I13" i="3"/>
  <c r="M23" i="3" l="1"/>
  <c r="M27" i="3" s="1"/>
  <c r="C12" i="5" s="1"/>
  <c r="AG23" i="3"/>
  <c r="AG27" i="3" s="1"/>
  <c r="AB23" i="3"/>
  <c r="AB27" i="3" s="1"/>
  <c r="C15" i="5" s="1"/>
  <c r="W27" i="3"/>
  <c r="AR34" i="3"/>
  <c r="AQ28" i="3"/>
  <c r="AQ29" i="3"/>
  <c r="AR33" i="3" s="1"/>
  <c r="AM34" i="3"/>
  <c r="AN34" i="3" s="1"/>
  <c r="AL28" i="3"/>
  <c r="AL29" i="3"/>
  <c r="AN27" i="3"/>
  <c r="R27" i="3"/>
  <c r="AH34" i="3" l="1"/>
  <c r="AI34" i="3" s="1"/>
  <c r="AG29" i="3"/>
  <c r="AI29" i="3" s="1"/>
  <c r="AI27" i="3"/>
  <c r="AG28" i="3"/>
  <c r="AI28" i="3" s="1"/>
  <c r="AB29" i="3"/>
  <c r="AC33" i="3" s="1"/>
  <c r="AD33" i="3" s="1"/>
  <c r="AC34" i="3"/>
  <c r="AD34" i="3" s="1"/>
  <c r="AD27" i="3"/>
  <c r="AB28" i="3"/>
  <c r="AD32" i="3" s="1"/>
  <c r="X34" i="3"/>
  <c r="Y34" i="3" s="1"/>
  <c r="C14" i="5"/>
  <c r="W29" i="3"/>
  <c r="X33" i="3" s="1"/>
  <c r="Y33" i="3" s="1"/>
  <c r="W28" i="3"/>
  <c r="Y28" i="3" s="1"/>
  <c r="Y27" i="3"/>
  <c r="AN32" i="3"/>
  <c r="AN28" i="3"/>
  <c r="AM33" i="3"/>
  <c r="AN33" i="3" s="1"/>
  <c r="AN29" i="3"/>
  <c r="T27" i="3"/>
  <c r="C13" i="5"/>
  <c r="R28" i="3"/>
  <c r="T32" i="3" s="1"/>
  <c r="R29" i="3"/>
  <c r="T29" i="3" s="1"/>
  <c r="S34" i="3"/>
  <c r="T34" i="3" s="1"/>
  <c r="N34" i="3"/>
  <c r="O34" i="3" s="1"/>
  <c r="M29" i="3"/>
  <c r="O29" i="3" s="1"/>
  <c r="O27" i="3"/>
  <c r="M28" i="3"/>
  <c r="O32" i="3" s="1"/>
  <c r="I11" i="3"/>
  <c r="H23" i="3" s="1"/>
  <c r="B5" i="5"/>
  <c r="B4" i="5"/>
  <c r="B6" i="5"/>
  <c r="B3" i="5"/>
  <c r="B7" i="5"/>
  <c r="AD29" i="3" l="1"/>
  <c r="AI32" i="3"/>
  <c r="AH33" i="3"/>
  <c r="AI33" i="3" s="1"/>
  <c r="AD28" i="3"/>
  <c r="Y29" i="3"/>
  <c r="Y32" i="3"/>
  <c r="T28" i="3"/>
  <c r="S33" i="3"/>
  <c r="T33" i="3" s="1"/>
  <c r="N33" i="3"/>
  <c r="O33" i="3" s="1"/>
  <c r="O28" i="3"/>
  <c r="H27" i="3"/>
  <c r="H29" i="3" s="1"/>
  <c r="J29" i="3" s="1"/>
  <c r="H28" i="3" l="1"/>
  <c r="J32" i="3" s="1"/>
  <c r="J27" i="3"/>
  <c r="I33" i="3"/>
  <c r="J33" i="3" s="1"/>
  <c r="I34" i="3"/>
  <c r="J34" i="3" s="1"/>
  <c r="C11" i="5"/>
  <c r="C16" i="5" l="1"/>
  <c r="C18" i="5" s="1"/>
  <c r="C27" i="5" s="1"/>
  <c r="J28" i="3"/>
  <c r="C29" i="5" l="1"/>
  <c r="C28" i="5"/>
</calcChain>
</file>

<file path=xl/sharedStrings.xml><?xml version="1.0" encoding="utf-8"?>
<sst xmlns="http://schemas.openxmlformats.org/spreadsheetml/2006/main" count="399" uniqueCount="93">
  <si>
    <t>TRILHO DUPLO PARALELO</t>
  </si>
  <si>
    <t xml:space="preserve">DESLIZANTE </t>
  </si>
  <si>
    <t>METRO</t>
  </si>
  <si>
    <t>PRODUTO</t>
  </si>
  <si>
    <t>TERMINAL</t>
  </si>
  <si>
    <t>BLACKOUT 70%</t>
  </si>
  <si>
    <t>BLACKOUT 100%</t>
  </si>
  <si>
    <t>CONF. EI</t>
  </si>
  <si>
    <t>CONF. PA</t>
  </si>
  <si>
    <t>INTALAÇAO</t>
  </si>
  <si>
    <t>DESLOCAMENTO</t>
  </si>
  <si>
    <t>CIDADE</t>
  </si>
  <si>
    <t xml:space="preserve"> TOTAL CUSTO</t>
  </si>
  <si>
    <t>LINHO</t>
  </si>
  <si>
    <t xml:space="preserve"> TOTAL VENDA</t>
  </si>
  <si>
    <t>PARCELA</t>
  </si>
  <si>
    <t>VALOR TOTAL</t>
  </si>
  <si>
    <t>PROMOCIONAL 20%</t>
  </si>
  <si>
    <t>PROMOCIONAL 10%</t>
  </si>
  <si>
    <t>LUCRO</t>
  </si>
  <si>
    <t>TAXA CARTÃO 10X</t>
  </si>
  <si>
    <t>TAXA CARTÃO 3X - 10%</t>
  </si>
  <si>
    <t>À VISTA - 20%</t>
  </si>
  <si>
    <t>PARCELAS</t>
  </si>
  <si>
    <t>VALOR</t>
  </si>
  <si>
    <t>AMBIENTE</t>
  </si>
  <si>
    <t>DESCRIÇÃO</t>
  </si>
  <si>
    <t xml:space="preserve">Orçamento sujeito a alteração devida medidas e padrões/tecidos </t>
  </si>
  <si>
    <t>OPÇÕES DE PAGAMENTO:</t>
  </si>
  <si>
    <t>CLIENTE:</t>
  </si>
  <si>
    <t xml:space="preserve">Bairro: </t>
  </si>
  <si>
    <t xml:space="preserve">Cidade: </t>
  </si>
  <si>
    <t xml:space="preserve">Fone: </t>
  </si>
  <si>
    <t>TOTAL</t>
  </si>
  <si>
    <t xml:space="preserve">DESCONTO 20% </t>
  </si>
  <si>
    <t xml:space="preserve">DESCONTO 10% </t>
  </si>
  <si>
    <t>Forma de Pagamento</t>
  </si>
  <si>
    <t>Total do Desconto</t>
  </si>
  <si>
    <t>CARTÃO DE CRÉDITO (3X)</t>
  </si>
  <si>
    <t>CARTÃO DE CRÉDITO (10X)</t>
  </si>
  <si>
    <t>Valor da Parcela</t>
  </si>
  <si>
    <t>INSTALAÇÃO</t>
  </si>
  <si>
    <t>INSTALAÇÃO:</t>
  </si>
  <si>
    <t>PRAZO DE ENTREGA</t>
  </si>
  <si>
    <t>20 DIAS</t>
  </si>
  <si>
    <t>CONDIÇÕES DA VENDA</t>
  </si>
  <si>
    <t>MATERIAL</t>
  </si>
  <si>
    <t>TECIDO</t>
  </si>
  <si>
    <t>DESLIZANTE</t>
  </si>
  <si>
    <t>BLACKOUT</t>
  </si>
  <si>
    <t>CONFECÇÃO</t>
  </si>
  <si>
    <t>ALTURA</t>
  </si>
  <si>
    <t>LARGURA</t>
  </si>
  <si>
    <t>TIPO</t>
  </si>
  <si>
    <t>MEDIDAS</t>
  </si>
  <si>
    <t>TRILHO</t>
  </si>
  <si>
    <t>PA</t>
  </si>
  <si>
    <t>ADICIONAL DE TECIDO</t>
  </si>
  <si>
    <t>TECIDO LINHO</t>
  </si>
  <si>
    <t>TRILHO SIMPLES</t>
  </si>
  <si>
    <t>SIMPLES</t>
  </si>
  <si>
    <t>SUPORTE TRILHO PAREDE</t>
  </si>
  <si>
    <t>PAREDE</t>
  </si>
  <si>
    <t>SUPORTE PAREDE</t>
  </si>
  <si>
    <t>NÃO</t>
  </si>
  <si>
    <t>WAVE</t>
  </si>
  <si>
    <t>TAXA CARTÃO %</t>
  </si>
  <si>
    <t>TAXA CARTÃO VALOR</t>
  </si>
  <si>
    <t>TECIDO VOIL</t>
  </si>
  <si>
    <t>CUSTO</t>
  </si>
  <si>
    <t>TOTAL VENDA</t>
  </si>
  <si>
    <t>DUPLO</t>
  </si>
  <si>
    <t>SIM</t>
  </si>
  <si>
    <t>SEM</t>
  </si>
  <si>
    <t>OUTRO</t>
  </si>
  <si>
    <t>VITÓRIA/GUARAPARI</t>
  </si>
  <si>
    <t>LOCAL</t>
  </si>
  <si>
    <t>TECIDO NÃO</t>
  </si>
  <si>
    <t>CONF. NÃO</t>
  </si>
  <si>
    <t>INSTALAÇÃO NÃO</t>
  </si>
  <si>
    <t>VV</t>
  </si>
  <si>
    <t>10X SEM JUROS</t>
  </si>
  <si>
    <t>DESCONTO PROMOCIONAL</t>
  </si>
  <si>
    <t>PARCELAMENTO NÃO INCLUI DESCONTO DE 20%</t>
  </si>
  <si>
    <t xml:space="preserve"> A VISTA</t>
  </si>
  <si>
    <t>LINHO RUSTICO</t>
  </si>
  <si>
    <t>custo real</t>
  </si>
  <si>
    <t>Data do Orçamento:</t>
  </si>
  <si>
    <t>Cliente:</t>
  </si>
  <si>
    <t xml:space="preserve">INCLUSA NO VALOR </t>
  </si>
  <si>
    <t>PREGAS</t>
  </si>
  <si>
    <t>Roses Decor</t>
  </si>
  <si>
    <r>
      <t xml:space="preserve"> TOTAL COM DESCONTO:          </t>
    </r>
    <r>
      <rPr>
        <b/>
        <sz val="14"/>
        <color rgb="FFFF0000"/>
        <rFont val="Calibri"/>
        <family val="2"/>
        <scheme val="minor"/>
      </rPr>
      <t>50% PEDIDO / 50% ENTREGA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</si>
</sst>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i/>
      <u/>
      <sz val="18"/>
      <color rgb="FF548DD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2"/>
      <color rgb="FFAFA97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17365D"/>
      <name val="Calibri"/>
      <family val="2"/>
      <scheme val="minor"/>
    </font>
    <font>
      <b/>
      <u/>
      <sz val="12"/>
      <color rgb="FFAFA979"/>
      <name val="Calibri"/>
      <family val="2"/>
      <scheme val="minor"/>
    </font>
    <font>
      <sz val="24"/>
      <color rgb="FFAFA979"/>
      <name val="Edwardian Script ITC"/>
      <family val="4"/>
    </font>
    <font>
      <sz val="11"/>
      <color rgb="FFAFA979"/>
      <name val="Edwardian Script ITC"/>
      <family val="4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F243E"/>
      </right>
      <top style="medium">
        <color indexed="64"/>
      </top>
      <bottom/>
      <diagonal/>
    </border>
    <border>
      <left style="medium">
        <color rgb="FF0F243E"/>
      </left>
      <right style="medium">
        <color rgb="FF0F243E"/>
      </right>
      <top style="medium">
        <color indexed="64"/>
      </top>
      <bottom/>
      <diagonal/>
    </border>
    <border>
      <left style="medium">
        <color rgb="FF0F243E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F243E"/>
      </right>
      <top/>
      <bottom style="medium">
        <color indexed="64"/>
      </bottom>
      <diagonal/>
    </border>
    <border>
      <left style="medium">
        <color rgb="FF0F243E"/>
      </left>
      <right style="medium">
        <color rgb="FF0F243E"/>
      </right>
      <top/>
      <bottom style="medium">
        <color indexed="64"/>
      </bottom>
      <diagonal/>
    </border>
    <border>
      <left style="medium">
        <color rgb="FF0F243E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5" xfId="0" applyBorder="1"/>
    <xf numFmtId="0" fontId="0" fillId="0" borderId="6" xfId="0" applyBorder="1"/>
    <xf numFmtId="0" fontId="3" fillId="0" borderId="1" xfId="0" applyFont="1" applyBorder="1" applyAlignment="1">
      <alignment horizontal="center"/>
    </xf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14" xfId="0" applyBorder="1"/>
    <xf numFmtId="2" fontId="0" fillId="2" borderId="8" xfId="0" applyNumberFormat="1" applyFill="1" applyBorder="1"/>
    <xf numFmtId="0" fontId="10" fillId="0" borderId="15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7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  <xf numFmtId="4" fontId="0" fillId="0" borderId="9" xfId="0" applyNumberFormat="1" applyBorder="1" applyAlignment="1">
      <alignment horizontal="left"/>
    </xf>
    <xf numFmtId="0" fontId="7" fillId="0" borderId="18" xfId="0" applyFont="1" applyBorder="1" applyAlignment="1">
      <alignment horizontal="left" vertical="center"/>
    </xf>
    <xf numFmtId="0" fontId="0" fillId="0" borderId="19" xfId="0" applyBorder="1" applyAlignment="1">
      <alignment horizontal="left"/>
    </xf>
    <xf numFmtId="4" fontId="0" fillId="0" borderId="20" xfId="0" applyNumberFormat="1" applyBorder="1" applyAlignment="1">
      <alignment horizontal="left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4" fontId="0" fillId="0" borderId="0" xfId="0" applyNumberFormat="1" applyAlignment="1">
      <alignment horizontal="left"/>
    </xf>
    <xf numFmtId="0" fontId="8" fillId="0" borderId="8" xfId="0" applyFont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4" borderId="5" xfId="0" applyFill="1" applyBorder="1" applyAlignment="1">
      <alignment vertical="center"/>
    </xf>
    <xf numFmtId="0" fontId="0" fillId="4" borderId="5" xfId="0" applyFill="1" applyBorder="1"/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9" fontId="0" fillId="0" borderId="5" xfId="0" applyNumberFormat="1" applyBorder="1"/>
    <xf numFmtId="9" fontId="0" fillId="0" borderId="0" xfId="0" applyNumberFormat="1"/>
    <xf numFmtId="9" fontId="0" fillId="0" borderId="5" xfId="0" applyNumberFormat="1" applyBorder="1" applyAlignment="1">
      <alignment horizontal="left"/>
    </xf>
    <xf numFmtId="0" fontId="2" fillId="4" borderId="5" xfId="0" applyFont="1" applyFill="1" applyBorder="1"/>
    <xf numFmtId="0" fontId="0" fillId="0" borderId="13" xfId="0" applyBorder="1"/>
    <xf numFmtId="2" fontId="0" fillId="4" borderId="5" xfId="0" applyNumberFormat="1" applyFill="1" applyBorder="1"/>
    <xf numFmtId="0" fontId="3" fillId="4" borderId="7" xfId="0" applyFont="1" applyFill="1" applyBorder="1" applyAlignment="1">
      <alignment horizontal="center"/>
    </xf>
    <xf numFmtId="4" fontId="0" fillId="4" borderId="5" xfId="0" applyNumberFormat="1" applyFill="1" applyBorder="1"/>
    <xf numFmtId="0" fontId="3" fillId="4" borderId="1" xfId="0" applyFont="1" applyFill="1" applyBorder="1" applyAlignment="1">
      <alignment horizontal="center"/>
    </xf>
    <xf numFmtId="4" fontId="0" fillId="4" borderId="2" xfId="0" applyNumberFormat="1" applyFill="1" applyBorder="1"/>
    <xf numFmtId="4" fontId="0" fillId="4" borderId="3" xfId="0" applyNumberFormat="1" applyFill="1" applyBorder="1"/>
    <xf numFmtId="0" fontId="0" fillId="4" borderId="0" xfId="0" applyFill="1"/>
    <xf numFmtId="4" fontId="0" fillId="4" borderId="1" xfId="0" applyNumberFormat="1" applyFill="1" applyBorder="1"/>
    <xf numFmtId="4" fontId="0" fillId="4" borderId="12" xfId="0" applyNumberForma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0" fontId="0" fillId="4" borderId="5" xfId="0" applyNumberFormat="1" applyFill="1" applyBorder="1"/>
    <xf numFmtId="2" fontId="0" fillId="4" borderId="5" xfId="0" applyNumberFormat="1" applyFill="1" applyBorder="1" applyAlignment="1">
      <alignment horizontal="center"/>
    </xf>
    <xf numFmtId="0" fontId="7" fillId="0" borderId="15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2" fillId="4" borderId="21" xfId="0" applyFont="1" applyFill="1" applyBorder="1"/>
    <xf numFmtId="0" fontId="0" fillId="0" borderId="23" xfId="0" applyBorder="1"/>
    <xf numFmtId="44" fontId="0" fillId="0" borderId="0" xfId="0" applyNumberFormat="1"/>
    <xf numFmtId="1" fontId="0" fillId="4" borderId="5" xfId="0" applyNumberFormat="1" applyFill="1" applyBorder="1"/>
    <xf numFmtId="4" fontId="0" fillId="2" borderId="2" xfId="0" applyNumberFormat="1" applyFill="1" applyBorder="1"/>
    <xf numFmtId="0" fontId="12" fillId="0" borderId="0" xfId="0" applyFont="1"/>
    <xf numFmtId="9" fontId="13" fillId="0" borderId="0" xfId="0" applyNumberFormat="1" applyFont="1"/>
    <xf numFmtId="0" fontId="3" fillId="0" borderId="2" xfId="0" applyFont="1" applyBorder="1" applyAlignment="1">
      <alignment horizontal="center"/>
    </xf>
    <xf numFmtId="44" fontId="0" fillId="2" borderId="18" xfId="1" applyFont="1" applyFill="1" applyBorder="1"/>
    <xf numFmtId="44" fontId="0" fillId="2" borderId="21" xfId="1" applyFont="1" applyFill="1" applyBorder="1"/>
    <xf numFmtId="44" fontId="3" fillId="2" borderId="21" xfId="1" applyFont="1" applyFill="1" applyBorder="1"/>
    <xf numFmtId="44" fontId="0" fillId="0" borderId="21" xfId="1" applyFont="1" applyBorder="1"/>
    <xf numFmtId="0" fontId="2" fillId="0" borderId="0" xfId="0" applyFont="1" applyAlignment="1">
      <alignment vertical="center"/>
    </xf>
    <xf numFmtId="0" fontId="15" fillId="0" borderId="5" xfId="0" applyFont="1" applyBorder="1" applyAlignment="1">
      <alignment vertical="center" wrapText="1"/>
    </xf>
    <xf numFmtId="4" fontId="6" fillId="0" borderId="30" xfId="0" applyNumberFormat="1" applyFont="1" applyBorder="1" applyAlignment="1">
      <alignment horizontal="center" vertical="center" wrapText="1"/>
    </xf>
    <xf numFmtId="4" fontId="6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5" fillId="0" borderId="34" xfId="0" applyFont="1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9" fillId="0" borderId="20" xfId="0" applyNumberFormat="1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0" fillId="0" borderId="22" xfId="0" quotePrefix="1" applyBorder="1"/>
    <xf numFmtId="0" fontId="2" fillId="0" borderId="21" xfId="0" applyFont="1" applyBorder="1"/>
    <xf numFmtId="0" fontId="11" fillId="0" borderId="16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9" fontId="20" fillId="0" borderId="20" xfId="2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13" xfId="0" applyBorder="1" applyAlignment="1">
      <alignment horizontal="left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AFA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3648075</xdr:colOff>
      <xdr:row>0</xdr:row>
      <xdr:rowOff>95250</xdr:rowOff>
    </xdr:from>
    <xdr:to>
      <xdr:col>3</xdr:col>
      <xdr:colOff>9525</xdr:colOff>
      <xdr:row>7</xdr:row>
      <xdr:rowOff>1873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2847570-7FBE-5671-A542-0ABDF90A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95250"/>
          <a:ext cx="1866900" cy="1316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showGridLines="0" tabSelected="1" topLeftCell="O1" workbookViewId="0">
      <selection activeCell="W15" sqref="W15"/>
    </sheetView>
  </sheetViews>
  <sheetFormatPr defaultRowHeight="14.4" x14ac:dyDescent="0.3"/>
  <cols>
    <col min="1" max="1" width="26.109375" customWidth="1"/>
    <col min="2" max="2" width="8.88671875" customWidth="1"/>
    <col min="3" max="3" width="18.44140625" customWidth="1"/>
    <col min="4" max="4" width="13.109375" customWidth="1"/>
    <col min="5" max="5" width="10.6640625" customWidth="1"/>
    <col min="6" max="6" width="8.88671875" customWidth="1"/>
    <col min="7" max="7" width="20.6640625" bestFit="1" customWidth="1"/>
    <col min="8" max="8" width="15.6640625" bestFit="1" customWidth="1"/>
    <col min="9" max="9" width="19.44140625" bestFit="1" customWidth="1"/>
    <col min="10" max="10" width="15" bestFit="1" customWidth="1"/>
    <col min="12" max="12" width="18.6640625" customWidth="1"/>
    <col min="13" max="13" width="15" bestFit="1" customWidth="1"/>
    <col min="14" max="14" width="11.109375" customWidth="1"/>
    <col min="17" max="17" width="17.88671875" customWidth="1"/>
    <col min="18" max="18" width="15" bestFit="1" customWidth="1"/>
    <col min="19" max="19" width="16.6640625" customWidth="1"/>
    <col min="22" max="22" width="20.6640625" bestFit="1" customWidth="1"/>
    <col min="23" max="23" width="15" bestFit="1" customWidth="1"/>
    <col min="24" max="24" width="19.44140625" bestFit="1" customWidth="1"/>
    <col min="27" max="27" width="20.6640625" bestFit="1" customWidth="1"/>
    <col min="28" max="28" width="15" bestFit="1" customWidth="1"/>
    <col min="29" max="29" width="19.44140625" bestFit="1" customWidth="1"/>
    <col min="30" max="30" width="8.6640625" bestFit="1" customWidth="1"/>
    <col min="32" max="32" width="20.6640625" bestFit="1" customWidth="1"/>
    <col min="33" max="33" width="15" bestFit="1" customWidth="1"/>
    <col min="34" max="34" width="19.44140625" bestFit="1" customWidth="1"/>
    <col min="35" max="35" width="8.6640625" bestFit="1" customWidth="1"/>
    <col min="37" max="37" width="20.6640625" bestFit="1" customWidth="1"/>
    <col min="38" max="38" width="15" bestFit="1" customWidth="1"/>
    <col min="39" max="39" width="19.44140625" bestFit="1" customWidth="1"/>
    <col min="40" max="40" width="8.6640625" bestFit="1" customWidth="1"/>
    <col min="42" max="42" width="20.6640625" bestFit="1" customWidth="1"/>
    <col min="43" max="43" width="15" bestFit="1" customWidth="1"/>
    <col min="44" max="44" width="19.44140625" bestFit="1" customWidth="1"/>
  </cols>
  <sheetData>
    <row r="1" spans="1:44" ht="18.600000000000001" thickBot="1" x14ac:dyDescent="0.35">
      <c r="A1" s="3" t="s">
        <v>3</v>
      </c>
      <c r="B1" t="s">
        <v>64</v>
      </c>
      <c r="D1" s="58" t="s">
        <v>2</v>
      </c>
      <c r="E1" s="1" t="s">
        <v>86</v>
      </c>
      <c r="G1" s="31" t="s">
        <v>29</v>
      </c>
      <c r="H1" s="94"/>
      <c r="I1" s="95"/>
    </row>
    <row r="2" spans="1:44" x14ac:dyDescent="0.3">
      <c r="A2" s="2" t="s">
        <v>0</v>
      </c>
      <c r="B2" t="s">
        <v>71</v>
      </c>
      <c r="D2" s="59">
        <v>20</v>
      </c>
      <c r="E2" s="1"/>
      <c r="G2" s="26" t="s">
        <v>30</v>
      </c>
      <c r="H2" s="94"/>
      <c r="I2" s="95"/>
    </row>
    <row r="3" spans="1:44" x14ac:dyDescent="0.3">
      <c r="A3" s="2" t="s">
        <v>59</v>
      </c>
      <c r="B3" t="s">
        <v>60</v>
      </c>
      <c r="D3" s="59">
        <v>9</v>
      </c>
      <c r="E3" s="1"/>
      <c r="G3" s="26" t="s">
        <v>31</v>
      </c>
      <c r="H3" s="94"/>
      <c r="I3" s="95"/>
    </row>
    <row r="4" spans="1:44" x14ac:dyDescent="0.3">
      <c r="A4" s="2"/>
      <c r="B4" t="s">
        <v>62</v>
      </c>
      <c r="D4" s="59">
        <v>8.5</v>
      </c>
      <c r="E4" s="1"/>
      <c r="G4" s="26" t="s">
        <v>32</v>
      </c>
      <c r="H4" s="94"/>
      <c r="I4" s="95"/>
    </row>
    <row r="5" spans="1:44" x14ac:dyDescent="0.3">
      <c r="A5" s="2" t="s">
        <v>61</v>
      </c>
      <c r="B5" t="s">
        <v>72</v>
      </c>
      <c r="C5" t="s">
        <v>64</v>
      </c>
      <c r="D5" s="59">
        <v>7</v>
      </c>
      <c r="E5" s="1"/>
      <c r="G5" s="76"/>
      <c r="H5" s="75"/>
      <c r="I5" s="36"/>
    </row>
    <row r="6" spans="1:44" x14ac:dyDescent="0.3">
      <c r="A6" s="1" t="s">
        <v>1</v>
      </c>
      <c r="D6" s="60">
        <v>7</v>
      </c>
      <c r="E6" s="1"/>
      <c r="G6" s="30" t="s">
        <v>25</v>
      </c>
      <c r="H6" s="87"/>
      <c r="I6" s="88"/>
      <c r="L6" s="30" t="s">
        <v>25</v>
      </c>
      <c r="M6" s="87"/>
      <c r="N6" s="88"/>
      <c r="Q6" s="30" t="s">
        <v>25</v>
      </c>
      <c r="R6" s="87"/>
      <c r="S6" s="88"/>
      <c r="V6" s="30" t="s">
        <v>25</v>
      </c>
      <c r="W6" s="87"/>
      <c r="X6" s="88"/>
      <c r="AA6" s="30" t="s">
        <v>25</v>
      </c>
      <c r="AB6" s="87">
        <v>5</v>
      </c>
      <c r="AC6" s="88"/>
      <c r="AF6" s="30" t="s">
        <v>25</v>
      </c>
      <c r="AG6" s="87">
        <v>6</v>
      </c>
      <c r="AH6" s="88"/>
      <c r="AK6" s="30" t="s">
        <v>25</v>
      </c>
      <c r="AL6" s="87">
        <v>7</v>
      </c>
      <c r="AM6" s="88"/>
      <c r="AP6" s="30" t="s">
        <v>25</v>
      </c>
      <c r="AQ6" s="87">
        <v>8</v>
      </c>
      <c r="AR6" s="88"/>
    </row>
    <row r="7" spans="1:44" x14ac:dyDescent="0.3">
      <c r="A7" s="1" t="s">
        <v>4</v>
      </c>
      <c r="B7" t="s">
        <v>73</v>
      </c>
      <c r="D7" s="60">
        <v>5</v>
      </c>
      <c r="E7" s="1"/>
      <c r="G7" s="89" t="s">
        <v>54</v>
      </c>
      <c r="H7" s="28" t="s">
        <v>52</v>
      </c>
      <c r="I7" s="29" t="s">
        <v>51</v>
      </c>
      <c r="L7" s="89" t="s">
        <v>54</v>
      </c>
      <c r="M7" s="28" t="s">
        <v>52</v>
      </c>
      <c r="N7" s="29" t="s">
        <v>51</v>
      </c>
      <c r="Q7" s="89" t="s">
        <v>54</v>
      </c>
      <c r="R7" s="28" t="s">
        <v>52</v>
      </c>
      <c r="S7" s="29" t="s">
        <v>51</v>
      </c>
      <c r="V7" s="89" t="s">
        <v>54</v>
      </c>
      <c r="W7" s="28" t="s">
        <v>52</v>
      </c>
      <c r="X7" s="29" t="s">
        <v>51</v>
      </c>
      <c r="AA7" s="89" t="s">
        <v>54</v>
      </c>
      <c r="AB7" s="28" t="s">
        <v>52</v>
      </c>
      <c r="AC7" s="29" t="s">
        <v>51</v>
      </c>
      <c r="AF7" s="89" t="s">
        <v>54</v>
      </c>
      <c r="AG7" s="28" t="s">
        <v>52</v>
      </c>
      <c r="AH7" s="29" t="s">
        <v>51</v>
      </c>
      <c r="AK7" s="89" t="s">
        <v>54</v>
      </c>
      <c r="AL7" s="28" t="s">
        <v>52</v>
      </c>
      <c r="AM7" s="29" t="s">
        <v>51</v>
      </c>
      <c r="AP7" s="89" t="s">
        <v>54</v>
      </c>
      <c r="AQ7" s="28" t="s">
        <v>52</v>
      </c>
      <c r="AR7" s="29" t="s">
        <v>51</v>
      </c>
    </row>
    <row r="8" spans="1:44" x14ac:dyDescent="0.3">
      <c r="A8" s="1" t="s">
        <v>5</v>
      </c>
      <c r="B8" s="33">
        <v>0.7</v>
      </c>
      <c r="C8">
        <v>0.8</v>
      </c>
      <c r="D8" s="61">
        <v>19</v>
      </c>
      <c r="E8" s="1">
        <v>16.61</v>
      </c>
      <c r="G8" s="90"/>
      <c r="H8" s="5"/>
      <c r="I8" s="5">
        <v>1.8</v>
      </c>
      <c r="L8" s="90"/>
      <c r="M8" s="5"/>
      <c r="N8" s="5">
        <v>3.83</v>
      </c>
      <c r="Q8" s="90"/>
      <c r="R8" s="5"/>
      <c r="S8" s="5">
        <v>3.83</v>
      </c>
      <c r="V8" s="90"/>
      <c r="W8" s="5"/>
      <c r="X8" s="5">
        <v>2.5</v>
      </c>
      <c r="AA8" s="90"/>
      <c r="AB8" s="5">
        <v>3.5</v>
      </c>
      <c r="AC8" s="5">
        <v>2.5</v>
      </c>
      <c r="AF8" s="90"/>
      <c r="AG8" s="5">
        <v>3.5</v>
      </c>
      <c r="AH8" s="5">
        <v>2.5</v>
      </c>
      <c r="AK8" s="90"/>
      <c r="AL8" s="5">
        <v>3.5</v>
      </c>
      <c r="AM8" s="5">
        <v>2.5</v>
      </c>
      <c r="AP8" s="90"/>
      <c r="AQ8" s="5">
        <v>3.5</v>
      </c>
      <c r="AR8" s="5">
        <v>2.5</v>
      </c>
    </row>
    <row r="9" spans="1:44" x14ac:dyDescent="0.3">
      <c r="A9" s="1" t="s">
        <v>6</v>
      </c>
      <c r="B9" s="33">
        <v>1</v>
      </c>
      <c r="C9">
        <v>0.8</v>
      </c>
      <c r="D9" s="61">
        <v>25</v>
      </c>
      <c r="E9" s="1">
        <v>23.74</v>
      </c>
      <c r="G9" s="29" t="s">
        <v>46</v>
      </c>
      <c r="H9" s="29" t="s">
        <v>53</v>
      </c>
      <c r="I9" s="29" t="s">
        <v>24</v>
      </c>
      <c r="J9" s="53"/>
      <c r="L9" s="29" t="s">
        <v>46</v>
      </c>
      <c r="M9" s="29" t="s">
        <v>53</v>
      </c>
      <c r="N9" s="29" t="s">
        <v>24</v>
      </c>
      <c r="Q9" s="29" t="s">
        <v>46</v>
      </c>
      <c r="R9" s="29" t="s">
        <v>53</v>
      </c>
      <c r="S9" s="29" t="s">
        <v>24</v>
      </c>
      <c r="V9" s="29" t="s">
        <v>46</v>
      </c>
      <c r="W9" s="29" t="s">
        <v>53</v>
      </c>
      <c r="X9" s="29" t="s">
        <v>24</v>
      </c>
      <c r="AA9" s="29" t="s">
        <v>46</v>
      </c>
      <c r="AB9" s="29" t="s">
        <v>53</v>
      </c>
      <c r="AC9" s="29" t="s">
        <v>24</v>
      </c>
      <c r="AF9" s="29" t="s">
        <v>46</v>
      </c>
      <c r="AG9" s="29" t="s">
        <v>53</v>
      </c>
      <c r="AH9" s="29" t="s">
        <v>24</v>
      </c>
      <c r="AK9" s="29" t="s">
        <v>46</v>
      </c>
      <c r="AL9" s="29" t="s">
        <v>53</v>
      </c>
      <c r="AM9" s="29" t="s">
        <v>24</v>
      </c>
      <c r="AP9" s="29" t="s">
        <v>46</v>
      </c>
      <c r="AQ9" s="29" t="s">
        <v>53</v>
      </c>
      <c r="AR9" s="29" t="s">
        <v>24</v>
      </c>
    </row>
    <row r="10" spans="1:44" x14ac:dyDescent="0.3">
      <c r="A10" s="1" t="s">
        <v>68</v>
      </c>
      <c r="B10" s="57" t="s">
        <v>85</v>
      </c>
      <c r="C10">
        <v>3</v>
      </c>
      <c r="D10" s="61">
        <v>17</v>
      </c>
      <c r="E10" s="1"/>
      <c r="G10" s="91"/>
      <c r="H10" s="92"/>
      <c r="I10" s="93"/>
      <c r="L10" s="91"/>
      <c r="M10" s="92"/>
      <c r="N10" s="93"/>
      <c r="Q10" s="91"/>
      <c r="R10" s="92"/>
      <c r="S10" s="93"/>
      <c r="V10" s="91"/>
      <c r="W10" s="92"/>
      <c r="X10" s="93"/>
      <c r="AA10" s="91"/>
      <c r="AB10" s="92"/>
      <c r="AC10" s="93"/>
      <c r="AF10" s="91"/>
      <c r="AG10" s="92"/>
      <c r="AH10" s="93"/>
      <c r="AK10" s="91"/>
      <c r="AL10" s="92"/>
      <c r="AM10" s="93"/>
      <c r="AP10" s="91"/>
      <c r="AQ10" s="92"/>
      <c r="AR10" s="93"/>
    </row>
    <row r="11" spans="1:44" x14ac:dyDescent="0.3">
      <c r="A11" s="1" t="s">
        <v>58</v>
      </c>
      <c r="B11" s="33" t="s">
        <v>13</v>
      </c>
      <c r="C11">
        <v>3</v>
      </c>
      <c r="D11" s="61">
        <v>15</v>
      </c>
      <c r="E11" s="1"/>
      <c r="G11" s="35" t="s">
        <v>55</v>
      </c>
      <c r="H11" s="1" t="s">
        <v>71</v>
      </c>
      <c r="I11" s="27">
        <f>IF(H11=$B$2,SUM(H8*$D$2),IF(H11=$B$3,SUM(H8*$D$3),IF(H11=$B$4,SUM(H8*$D$4),0)))</f>
        <v>0</v>
      </c>
      <c r="L11" s="35" t="s">
        <v>55</v>
      </c>
      <c r="M11" s="1" t="s">
        <v>71</v>
      </c>
      <c r="N11" s="27">
        <f>IF(M11=$B$2,SUM(M8*$D$2),IF(M11=$B$3,SUM(M8*$D$3),IF(M11=$B$4,SUM(M8*$D$4),0)))</f>
        <v>0</v>
      </c>
      <c r="Q11" s="35" t="s">
        <v>55</v>
      </c>
      <c r="R11" s="1" t="s">
        <v>71</v>
      </c>
      <c r="S11" s="27">
        <f>IF(R11=$B$2,SUM(R8*$D$2),IF(R11=$B$3,SUM(R8*$D$3),IF(R11=$B$4,SUM(R8*$D$4),0)))</f>
        <v>0</v>
      </c>
      <c r="V11" s="35" t="s">
        <v>55</v>
      </c>
      <c r="W11" s="1" t="s">
        <v>71</v>
      </c>
      <c r="X11" s="27">
        <f>IF(W11=$B$2,SUM(W8*$D$2),IF(W11=$B$3,SUM(W8*$D$3),IF(W11=$B$4,SUM(W8*$D$4),0)))</f>
        <v>0</v>
      </c>
      <c r="AA11" s="35" t="s">
        <v>55</v>
      </c>
      <c r="AB11" s="1" t="s">
        <v>64</v>
      </c>
      <c r="AC11" s="27">
        <f>IF(AB11=$B$2,SUM(AB8*$D$2),IF(AB11=$B$3,SUM(AB8*$D$3),IF(AB11=$B$4,SUM(AB8*$D$4),0)))</f>
        <v>0</v>
      </c>
      <c r="AF11" s="35" t="s">
        <v>55</v>
      </c>
      <c r="AG11" s="1" t="s">
        <v>64</v>
      </c>
      <c r="AH11" s="27">
        <f>IF(AG11=$B$2,SUM(AG8*$D$2),IF(AG11=$B$3,SUM(AG8*$D$3),IF(AG11=$B$4,SUM(AG8*$D$4),0)))</f>
        <v>0</v>
      </c>
      <c r="AK11" s="35" t="s">
        <v>55</v>
      </c>
      <c r="AL11" s="1" t="s">
        <v>64</v>
      </c>
      <c r="AM11" s="27">
        <f>IF(AL11=$B$2,SUM(AL8*$D$2),IF(AL11=$B$3,SUM(AL8*$D$3),IF(AL11=$B$4,SUM(AL8*$D$4),0)))</f>
        <v>0</v>
      </c>
      <c r="AP11" s="35" t="s">
        <v>55</v>
      </c>
      <c r="AQ11" s="1" t="s">
        <v>64</v>
      </c>
      <c r="AR11" s="27">
        <f>IF(AQ11=$B$2,SUM(AQ8*$D$2),IF(AQ11=$B$3,SUM(AQ8*$D$3),IF(AQ11=$B$4,SUM(AQ8*$D$4),0)))</f>
        <v>0</v>
      </c>
    </row>
    <row r="12" spans="1:44" x14ac:dyDescent="0.3">
      <c r="A12" s="1" t="s">
        <v>77</v>
      </c>
      <c r="B12" s="33" t="s">
        <v>64</v>
      </c>
      <c r="D12" s="60">
        <v>0</v>
      </c>
      <c r="E12" s="1"/>
      <c r="G12" s="35" t="s">
        <v>63</v>
      </c>
      <c r="H12" s="36" t="s">
        <v>64</v>
      </c>
      <c r="I12" s="27">
        <f>IF(H12="SIM",H8*$D$5,0)</f>
        <v>0</v>
      </c>
      <c r="L12" s="35" t="s">
        <v>63</v>
      </c>
      <c r="M12" s="36" t="s">
        <v>64</v>
      </c>
      <c r="N12" s="27">
        <f>IF(M12="SIM",M8*$D$5,0)</f>
        <v>0</v>
      </c>
      <c r="Q12" s="35" t="s">
        <v>63</v>
      </c>
      <c r="R12" s="36" t="s">
        <v>64</v>
      </c>
      <c r="S12" s="27">
        <f>IF(R12="SIM",R8*$D$5,0)</f>
        <v>0</v>
      </c>
      <c r="V12" s="35" t="s">
        <v>63</v>
      </c>
      <c r="W12" s="36" t="s">
        <v>64</v>
      </c>
      <c r="X12" s="27">
        <f>IF(W12="SIM",W8*$D$5,0)</f>
        <v>0</v>
      </c>
      <c r="AA12" s="35" t="s">
        <v>63</v>
      </c>
      <c r="AB12" s="36" t="s">
        <v>64</v>
      </c>
      <c r="AC12" s="27">
        <f>IF(AB12="SIM",AB8*$D$5,0)</f>
        <v>0</v>
      </c>
      <c r="AF12" s="35" t="s">
        <v>63</v>
      </c>
      <c r="AG12" s="36" t="s">
        <v>64</v>
      </c>
      <c r="AH12" s="27">
        <f>IF(AG12="SIM",AG8*$D$5,0)</f>
        <v>0</v>
      </c>
      <c r="AK12" s="35" t="s">
        <v>63</v>
      </c>
      <c r="AL12" s="36" t="s">
        <v>64</v>
      </c>
      <c r="AM12" s="27">
        <f>IF(AL12="SIM",AL8*$D$5,0)</f>
        <v>0</v>
      </c>
      <c r="AP12" s="35" t="s">
        <v>63</v>
      </c>
      <c r="AQ12" s="36" t="s">
        <v>64</v>
      </c>
      <c r="AR12" s="27">
        <f>IF(AQ12="SIM",AQ8*$D$5,0)</f>
        <v>0</v>
      </c>
    </row>
    <row r="13" spans="1:44" x14ac:dyDescent="0.3">
      <c r="A13" s="1" t="s">
        <v>7</v>
      </c>
      <c r="B13" s="33" t="s">
        <v>65</v>
      </c>
      <c r="D13" s="60">
        <v>76</v>
      </c>
      <c r="E13" s="1"/>
      <c r="G13" s="35" t="s">
        <v>48</v>
      </c>
      <c r="H13" s="36" t="s">
        <v>72</v>
      </c>
      <c r="I13" s="27">
        <f>IF(H13="SIM",H8*$D$6,0)</f>
        <v>0</v>
      </c>
      <c r="L13" s="35" t="s">
        <v>48</v>
      </c>
      <c r="M13" s="36" t="s">
        <v>72</v>
      </c>
      <c r="N13" s="27">
        <f>IF(M13="SIM",M8*$D$6,0)</f>
        <v>0</v>
      </c>
      <c r="Q13" s="35" t="s">
        <v>48</v>
      </c>
      <c r="R13" s="36" t="s">
        <v>72</v>
      </c>
      <c r="S13" s="27">
        <f>IF(R13="SIM",R8*$D$6,0)</f>
        <v>0</v>
      </c>
      <c r="V13" s="35" t="s">
        <v>48</v>
      </c>
      <c r="W13" s="36" t="s">
        <v>72</v>
      </c>
      <c r="X13" s="27">
        <f>IF(W13="SIM",W8*$D$6,0)</f>
        <v>0</v>
      </c>
      <c r="AA13" s="35" t="s">
        <v>48</v>
      </c>
      <c r="AB13" s="36" t="s">
        <v>64</v>
      </c>
      <c r="AC13" s="27">
        <f>IF(AB13="SIM",AB8*$D$6,0)</f>
        <v>0</v>
      </c>
      <c r="AF13" s="35" t="s">
        <v>48</v>
      </c>
      <c r="AG13" s="36" t="s">
        <v>64</v>
      </c>
      <c r="AH13" s="27">
        <f>IF(AG13="SIM",AG8*$D$6,0)</f>
        <v>0</v>
      </c>
      <c r="AK13" s="35" t="s">
        <v>48</v>
      </c>
      <c r="AL13" s="36" t="s">
        <v>64</v>
      </c>
      <c r="AM13" s="27">
        <f>IF(AL13="SIM",AL8*$D$6,0)</f>
        <v>0</v>
      </c>
      <c r="AP13" s="35" t="s">
        <v>48</v>
      </c>
      <c r="AQ13" s="36" t="s">
        <v>64</v>
      </c>
      <c r="AR13" s="27">
        <f>IF(AQ13="SIM",AQ8*$D$6,0)</f>
        <v>0</v>
      </c>
    </row>
    <row r="14" spans="1:44" x14ac:dyDescent="0.3">
      <c r="A14" s="1" t="s">
        <v>8</v>
      </c>
      <c r="B14" s="33" t="s">
        <v>56</v>
      </c>
      <c r="D14" s="60">
        <v>76</v>
      </c>
      <c r="E14" s="1"/>
      <c r="G14" s="51" t="s">
        <v>4</v>
      </c>
      <c r="H14" s="36" t="s">
        <v>72</v>
      </c>
      <c r="I14" s="27">
        <f>IF(H14="SIM",H8*$D$7,0)</f>
        <v>0</v>
      </c>
      <c r="L14" s="51" t="s">
        <v>4</v>
      </c>
      <c r="M14" s="36" t="s">
        <v>72</v>
      </c>
      <c r="N14" s="27">
        <f>IF(M14="SIM",M8*$D$7,0)</f>
        <v>0</v>
      </c>
      <c r="Q14" s="51" t="s">
        <v>4</v>
      </c>
      <c r="R14" s="36" t="s">
        <v>72</v>
      </c>
      <c r="S14" s="27">
        <f>IF(R14="SIM",R8*$D$7,0)</f>
        <v>0</v>
      </c>
      <c r="V14" s="51" t="s">
        <v>4</v>
      </c>
      <c r="W14" s="36" t="s">
        <v>72</v>
      </c>
      <c r="X14" s="27">
        <f>IF(W14="SIM",W8*$D$7,0)</f>
        <v>0</v>
      </c>
      <c r="AA14" s="51" t="s">
        <v>4</v>
      </c>
      <c r="AB14" s="36" t="s">
        <v>64</v>
      </c>
      <c r="AC14" s="27">
        <f>IF(AB14="SIM",AB8*$D$7,0)</f>
        <v>0</v>
      </c>
      <c r="AF14" s="51" t="s">
        <v>4</v>
      </c>
      <c r="AG14" s="36" t="s">
        <v>64</v>
      </c>
      <c r="AH14" s="27">
        <f>IF(AG14="SIM",AG8*$D$7,0)</f>
        <v>0</v>
      </c>
      <c r="AK14" s="51" t="s">
        <v>4</v>
      </c>
      <c r="AL14" s="36" t="s">
        <v>64</v>
      </c>
      <c r="AM14" s="27">
        <f>IF(AL14="SIM",AL8*$D$7,0)</f>
        <v>0</v>
      </c>
      <c r="AP14" s="51" t="s">
        <v>4</v>
      </c>
      <c r="AQ14" s="36" t="s">
        <v>64</v>
      </c>
      <c r="AR14" s="27">
        <f>IF(AQ14="SIM",AQ8*$D$7,0)</f>
        <v>0</v>
      </c>
    </row>
    <row r="15" spans="1:44" x14ac:dyDescent="0.3">
      <c r="A15" s="1" t="s">
        <v>78</v>
      </c>
      <c r="B15" s="33" t="s">
        <v>64</v>
      </c>
      <c r="D15" s="60">
        <v>0</v>
      </c>
      <c r="E15" s="1"/>
      <c r="G15" s="35" t="s">
        <v>49</v>
      </c>
      <c r="H15" s="34">
        <v>0.7</v>
      </c>
      <c r="I15" s="27">
        <f>IF(H15=$B$9,SUM((H8+$C$9)*$D$9),IF(H15=$B$8,SUM((H8+$C$8)*$D$8),0))</f>
        <v>15.200000000000001</v>
      </c>
      <c r="L15" s="35" t="s">
        <v>49</v>
      </c>
      <c r="M15" s="34" t="s">
        <v>73</v>
      </c>
      <c r="N15" s="27">
        <f>IF(M15=$B$9,SUM((M8+$C$9)*$D$9),IF(M15=$B$8,SUM((M8+$C$8)*$D$8),0))</f>
        <v>0</v>
      </c>
      <c r="Q15" s="35" t="s">
        <v>49</v>
      </c>
      <c r="R15" s="34" t="s">
        <v>73</v>
      </c>
      <c r="S15" s="27">
        <f>IF(R15=$B$9,SUM((R8+$C$9)*$D$9),IF(R15=$B$8,SUM((R8+$C$8)*$D$8),0))</f>
        <v>0</v>
      </c>
      <c r="V15" s="35" t="s">
        <v>49</v>
      </c>
      <c r="W15" s="34" t="s">
        <v>73</v>
      </c>
      <c r="X15" s="27">
        <f>IF(W15=$B$9,SUM((W8+$C$9)*$D$9),IF(W15=$B$8,SUM((W8+$C$8)*$D$8),0))</f>
        <v>0</v>
      </c>
      <c r="AA15" s="35" t="s">
        <v>49</v>
      </c>
      <c r="AB15" s="34" t="s">
        <v>73</v>
      </c>
      <c r="AC15" s="27">
        <f>IF(AB15=$B$9,SUM((AB8+$C$9)*$D$9),IF(AB15=$B$8,SUM((AB8+$C$8)*$D$8),0))</f>
        <v>0</v>
      </c>
      <c r="AF15" s="35" t="s">
        <v>49</v>
      </c>
      <c r="AG15" s="34" t="s">
        <v>73</v>
      </c>
      <c r="AH15" s="27">
        <f>IF(AG15=$B$9,SUM((AG8+$C$9)*$D$9),IF(AG15=$B$8,SUM((AG8+$C$8)*$D$8),0))</f>
        <v>0</v>
      </c>
      <c r="AK15" s="35" t="s">
        <v>49</v>
      </c>
      <c r="AL15" s="34" t="s">
        <v>73</v>
      </c>
      <c r="AM15" s="27">
        <f>IF(AL15=$B$9,SUM((AL8+$C$9)*$D$9),IF(AL15=$B$8,SUM((AL8+$C$8)*$D$8),0))</f>
        <v>0</v>
      </c>
      <c r="AP15" s="35" t="s">
        <v>49</v>
      </c>
      <c r="AQ15" s="34" t="s">
        <v>73</v>
      </c>
      <c r="AR15" s="27">
        <f>IF(AQ15=$B$9,SUM((AQ8+$C$9)*$D$9),IF(AQ15=$B$8,SUM((AQ8+$C$8)*$D$8),0))</f>
        <v>0</v>
      </c>
    </row>
    <row r="16" spans="1:44" x14ac:dyDescent="0.3">
      <c r="A16" s="1" t="s">
        <v>79</v>
      </c>
      <c r="B16" s="33" t="s">
        <v>64</v>
      </c>
      <c r="D16" s="60">
        <v>0</v>
      </c>
      <c r="E16" s="1"/>
      <c r="G16" s="35" t="s">
        <v>47</v>
      </c>
      <c r="H16" s="32" t="s">
        <v>13</v>
      </c>
      <c r="I16" s="27">
        <f>IF(H16=$B$11,SUM((H8*$C$11)*$D$11),IF(H16=$B$10,SUM((H8*C10)*D10),0))</f>
        <v>0</v>
      </c>
      <c r="L16" s="35" t="s">
        <v>47</v>
      </c>
      <c r="M16" s="32" t="s">
        <v>13</v>
      </c>
      <c r="N16" s="27">
        <f>IF(M16=$B$11,SUM((M8*$C$11)*$D$11),IF(M16=$B$10,SUM((M8*H10)*I10),0))</f>
        <v>0</v>
      </c>
      <c r="Q16" s="35" t="s">
        <v>47</v>
      </c>
      <c r="R16" s="32" t="s">
        <v>13</v>
      </c>
      <c r="S16" s="27">
        <f>IF(R16=$B$11,SUM((R8*$C$11)*$D$11),IF(R16=$B$10,SUM((R8*M10)*N10),0))</f>
        <v>0</v>
      </c>
      <c r="V16" s="35" t="s">
        <v>47</v>
      </c>
      <c r="W16" s="32" t="s">
        <v>13</v>
      </c>
      <c r="X16" s="27">
        <f>IF(W16=$B$11,SUM((W8*$C$11)*$D$11),IF(W16=$B$10,SUM((W8*M10)*N10),0))</f>
        <v>0</v>
      </c>
      <c r="AA16" s="35" t="s">
        <v>47</v>
      </c>
      <c r="AB16" s="32" t="s">
        <v>64</v>
      </c>
      <c r="AC16" s="27">
        <f>IF(AB16=$B$11,SUM((AB8*$C$11)*$D$11),IF(AB16=$B$10,SUM((AB8*R10)*S10),0))</f>
        <v>0</v>
      </c>
      <c r="AF16" s="35" t="s">
        <v>47</v>
      </c>
      <c r="AG16" s="32" t="s">
        <v>64</v>
      </c>
      <c r="AH16" s="27">
        <f>IF(AG16=$B$11,SUM((AG8*$C$11)*$D$11),IF(AG16=$B$10,SUM((AG8*W10)*X10),0))</f>
        <v>0</v>
      </c>
      <c r="AK16" s="35" t="s">
        <v>47</v>
      </c>
      <c r="AL16" s="32" t="s">
        <v>64</v>
      </c>
      <c r="AM16" s="27">
        <f>IF(AL16=$B$11,SUM((AL8*$C$11)*$D$11),IF(AL16=$B$10,SUM((AL8*AB10)*AC10),0))</f>
        <v>0</v>
      </c>
      <c r="AP16" s="35" t="s">
        <v>47</v>
      </c>
      <c r="AQ16" s="32" t="s">
        <v>64</v>
      </c>
      <c r="AR16" s="27">
        <f>IF(AQ16=$B$11,SUM((AQ8*$C$11)*$D$11),IF(AQ16=$B$10,SUM((AQ8*AG10)*AH10),0))</f>
        <v>0</v>
      </c>
    </row>
    <row r="17" spans="1:44" ht="23.4" customHeight="1" x14ac:dyDescent="0.3">
      <c r="A17" s="1" t="s">
        <v>9</v>
      </c>
      <c r="B17" s="33" t="s">
        <v>9</v>
      </c>
      <c r="D17" s="60">
        <v>40</v>
      </c>
      <c r="E17" s="1"/>
      <c r="G17" s="35" t="s">
        <v>90</v>
      </c>
      <c r="H17" s="33" t="s">
        <v>65</v>
      </c>
      <c r="I17" s="27">
        <f>IF(H17=$B$14,SUM(H8*$D$14),IF(H17=$B$13,SUM(H8*$D$13),0))</f>
        <v>0</v>
      </c>
      <c r="L17" s="35" t="s">
        <v>90</v>
      </c>
      <c r="M17" s="33" t="s">
        <v>65</v>
      </c>
      <c r="N17" s="27">
        <f>IF(M17=$B$14,SUM(M8*$D$14),IF(M17=$B$13,SUM(M8*$D$13),0))</f>
        <v>0</v>
      </c>
      <c r="Q17" s="35" t="s">
        <v>90</v>
      </c>
      <c r="R17" s="33" t="s">
        <v>65</v>
      </c>
      <c r="S17" s="27">
        <f>IF(R17=$B$14,SUM(R8*$D$14),IF(R17=$B$13,SUM(R8*$D$13),0))</f>
        <v>0</v>
      </c>
      <c r="V17" s="35" t="s">
        <v>90</v>
      </c>
      <c r="W17" s="33" t="s">
        <v>65</v>
      </c>
      <c r="X17" s="27">
        <f>IF(W17=$B$14,SUM(W8*$D$14),IF(W17=$B$13,SUM(W8*$D$13),0))</f>
        <v>0</v>
      </c>
      <c r="AA17" s="35" t="s">
        <v>90</v>
      </c>
      <c r="AB17" s="33" t="s">
        <v>64</v>
      </c>
      <c r="AC17" s="27">
        <f>IF(AB17=$B$14,SUM(AB8*$D$14),IF(AB17=$B$13,SUM(AB8*$D$13),0))</f>
        <v>0</v>
      </c>
      <c r="AF17" s="35" t="s">
        <v>50</v>
      </c>
      <c r="AG17" s="33" t="s">
        <v>64</v>
      </c>
      <c r="AH17" s="27">
        <f>IF(AG17=$B$14,SUM(AG8*$D$14),IF(AG17=$B$13,SUM(AG8*$D$13),0))</f>
        <v>0</v>
      </c>
      <c r="AK17" s="35" t="s">
        <v>50</v>
      </c>
      <c r="AL17" s="33" t="s">
        <v>64</v>
      </c>
      <c r="AM17" s="27">
        <f>IF(AL17=$B$14,SUM(AL8*$D$14),IF(AL17=$B$13,SUM(AL8*$D$13),0))</f>
        <v>0</v>
      </c>
      <c r="AP17" s="35" t="s">
        <v>50</v>
      </c>
      <c r="AQ17" s="33" t="s">
        <v>64</v>
      </c>
      <c r="AR17" s="27">
        <f>IF(AQ17=$B$14,SUM(AQ8*$D$14),IF(AQ17=$B$13,SUM(AQ8*$D$13),0))</f>
        <v>0</v>
      </c>
    </row>
    <row r="18" spans="1:44" ht="25.2" customHeight="1" x14ac:dyDescent="0.3">
      <c r="A18" s="1" t="s">
        <v>10</v>
      </c>
      <c r="B18" s="33" t="s">
        <v>10</v>
      </c>
      <c r="D18" s="60">
        <v>60</v>
      </c>
      <c r="E18" s="1"/>
      <c r="G18" s="35" t="s">
        <v>41</v>
      </c>
      <c r="H18" s="36" t="s">
        <v>72</v>
      </c>
      <c r="I18" s="54">
        <f>IF(H18="SIM",SUM(H8*$D$17,),0)</f>
        <v>0</v>
      </c>
      <c r="L18" s="35" t="s">
        <v>41</v>
      </c>
      <c r="M18" s="36" t="s">
        <v>72</v>
      </c>
      <c r="N18" s="54">
        <f>IF(M18="SIM",SUM(M8*$D$17,),0)</f>
        <v>0</v>
      </c>
      <c r="Q18" s="35" t="s">
        <v>41</v>
      </c>
      <c r="R18" s="36" t="s">
        <v>72</v>
      </c>
      <c r="S18" s="54">
        <f>IF(R18="SIM",SUM(R8*$D$17,),0)</f>
        <v>0</v>
      </c>
      <c r="V18" s="35" t="s">
        <v>41</v>
      </c>
      <c r="W18" s="36" t="s">
        <v>72</v>
      </c>
      <c r="X18" s="54">
        <f>IF(W18="SIM",SUM(W8*$D$17,),0)</f>
        <v>0</v>
      </c>
      <c r="AA18" s="35" t="s">
        <v>41</v>
      </c>
      <c r="AB18" s="36" t="s">
        <v>64</v>
      </c>
      <c r="AC18" s="54">
        <f>IF(AB18="SIM",SUM(AB8*$D$17,),0)</f>
        <v>0</v>
      </c>
      <c r="AF18" s="35" t="s">
        <v>41</v>
      </c>
      <c r="AG18" s="36" t="s">
        <v>64</v>
      </c>
      <c r="AH18" s="54">
        <f>IF(AG18="SIM",SUM(AG8*$D$17,),0)</f>
        <v>0</v>
      </c>
      <c r="AK18" s="35" t="s">
        <v>41</v>
      </c>
      <c r="AL18" s="36" t="s">
        <v>64</v>
      </c>
      <c r="AM18" s="54">
        <f>IF(AL18="SIM",SUM(AL8*$D$17,),0)</f>
        <v>0</v>
      </c>
      <c r="AP18" s="35" t="s">
        <v>41</v>
      </c>
      <c r="AQ18" s="36" t="s">
        <v>64</v>
      </c>
      <c r="AR18" s="54">
        <f>IF(AQ18="SIM",SUM(AQ8*$D$17,),0)</f>
        <v>0</v>
      </c>
    </row>
    <row r="19" spans="1:44" ht="24.6" customHeight="1" x14ac:dyDescent="0.3">
      <c r="A19" s="1"/>
      <c r="D19" s="62"/>
      <c r="E19" s="1"/>
      <c r="G19" s="35" t="s">
        <v>10</v>
      </c>
      <c r="H19" s="1" t="s">
        <v>64</v>
      </c>
      <c r="I19" s="27"/>
      <c r="L19" s="35"/>
      <c r="M19" s="1"/>
      <c r="N19" s="27"/>
      <c r="Q19" s="35"/>
      <c r="R19" s="1"/>
      <c r="S19" s="27"/>
      <c r="V19" s="35"/>
      <c r="W19" s="1"/>
      <c r="X19" s="27"/>
      <c r="AA19" s="35"/>
      <c r="AB19" s="1"/>
      <c r="AC19" s="27"/>
      <c r="AF19" s="35"/>
      <c r="AG19" s="1"/>
      <c r="AH19" s="27"/>
      <c r="AK19" s="35"/>
      <c r="AL19" s="1"/>
      <c r="AM19" s="27"/>
      <c r="AP19" s="35"/>
      <c r="AQ19" s="1"/>
      <c r="AR19" s="27"/>
    </row>
    <row r="20" spans="1:44" x14ac:dyDescent="0.3">
      <c r="A20" s="81" t="s">
        <v>57</v>
      </c>
      <c r="B20" s="82"/>
      <c r="C20" s="82"/>
      <c r="D20" s="83"/>
    </row>
    <row r="21" spans="1:44" ht="15" thickBot="1" x14ac:dyDescent="0.35">
      <c r="A21" s="1" t="s">
        <v>5</v>
      </c>
      <c r="B21" s="33">
        <v>0.7</v>
      </c>
      <c r="C21" s="6"/>
      <c r="D21" s="8">
        <v>0.8</v>
      </c>
    </row>
    <row r="22" spans="1:44" x14ac:dyDescent="0.3">
      <c r="A22" s="1" t="s">
        <v>6</v>
      </c>
      <c r="B22" s="33">
        <v>1</v>
      </c>
      <c r="C22" s="6"/>
      <c r="D22" s="8">
        <v>0.8</v>
      </c>
      <c r="G22" s="38" t="s">
        <v>12</v>
      </c>
      <c r="H22" s="38" t="s">
        <v>16</v>
      </c>
      <c r="L22" s="38" t="s">
        <v>12</v>
      </c>
      <c r="M22" s="38" t="s">
        <v>16</v>
      </c>
      <c r="Q22" s="38" t="s">
        <v>12</v>
      </c>
      <c r="R22" s="38" t="s">
        <v>16</v>
      </c>
      <c r="V22" s="38" t="s">
        <v>12</v>
      </c>
      <c r="W22" s="38" t="s">
        <v>16</v>
      </c>
      <c r="AA22" s="38" t="s">
        <v>12</v>
      </c>
      <c r="AB22" s="38" t="s">
        <v>16</v>
      </c>
      <c r="AF22" s="38" t="s">
        <v>12</v>
      </c>
      <c r="AG22" s="38" t="s">
        <v>16</v>
      </c>
      <c r="AK22" s="38" t="s">
        <v>12</v>
      </c>
      <c r="AL22" s="38" t="s">
        <v>16</v>
      </c>
      <c r="AP22" s="38" t="s">
        <v>12</v>
      </c>
      <c r="AQ22" s="38" t="s">
        <v>16</v>
      </c>
    </row>
    <row r="23" spans="1:44" x14ac:dyDescent="0.3">
      <c r="A23" s="1" t="s">
        <v>13</v>
      </c>
      <c r="B23" s="33" t="s">
        <v>13</v>
      </c>
      <c r="C23" s="6"/>
      <c r="D23" s="8">
        <v>3</v>
      </c>
      <c r="G23" s="27" t="s">
        <v>69</v>
      </c>
      <c r="H23" s="39">
        <f>SUM(I11:I19)</f>
        <v>15.200000000000001</v>
      </c>
      <c r="L23" s="27" t="s">
        <v>69</v>
      </c>
      <c r="M23" s="39">
        <f>SUM(N11:N19)</f>
        <v>0</v>
      </c>
      <c r="Q23" s="27" t="s">
        <v>69</v>
      </c>
      <c r="R23" s="39">
        <f>SUM(S11:S19)</f>
        <v>0</v>
      </c>
      <c r="V23" s="27" t="s">
        <v>69</v>
      </c>
      <c r="W23" s="39">
        <f>SUM(X11:X19)</f>
        <v>0</v>
      </c>
      <c r="AA23" s="27" t="s">
        <v>69</v>
      </c>
      <c r="AB23" s="39">
        <f>SUM(AC11:AC19)</f>
        <v>0</v>
      </c>
      <c r="AF23" s="27" t="s">
        <v>69</v>
      </c>
      <c r="AG23" s="39">
        <f>SUM(AH11:AH19)</f>
        <v>0</v>
      </c>
      <c r="AK23" s="27" t="s">
        <v>69</v>
      </c>
      <c r="AL23" s="39">
        <f>SUM(AM11:AM19)</f>
        <v>0</v>
      </c>
      <c r="AP23" s="27" t="s">
        <v>69</v>
      </c>
      <c r="AQ23" s="39">
        <f>SUM(AR11:AR19)</f>
        <v>0</v>
      </c>
    </row>
    <row r="24" spans="1:44" ht="15" thickBot="1" x14ac:dyDescent="0.35">
      <c r="E24" s="52"/>
      <c r="G24" s="27" t="s">
        <v>19</v>
      </c>
      <c r="H24" s="32">
        <v>1</v>
      </c>
      <c r="L24" s="27" t="s">
        <v>19</v>
      </c>
      <c r="M24" s="32">
        <v>1</v>
      </c>
      <c r="Q24" s="27" t="s">
        <v>19</v>
      </c>
      <c r="R24" s="32">
        <v>1</v>
      </c>
      <c r="V24" s="27" t="s">
        <v>19</v>
      </c>
      <c r="W24" s="32">
        <v>1</v>
      </c>
      <c r="AA24" s="27" t="s">
        <v>19</v>
      </c>
      <c r="AB24" s="32">
        <v>1</v>
      </c>
      <c r="AF24" s="27" t="s">
        <v>19</v>
      </c>
      <c r="AG24" s="32">
        <v>1.1000000000000001</v>
      </c>
      <c r="AK24" s="27" t="s">
        <v>19</v>
      </c>
      <c r="AL24" s="32">
        <v>1.1000000000000001</v>
      </c>
      <c r="AP24" s="27" t="s">
        <v>19</v>
      </c>
      <c r="AQ24" s="32">
        <v>1.1000000000000001</v>
      </c>
    </row>
    <row r="25" spans="1:44" ht="15" thickBot="1" x14ac:dyDescent="0.35">
      <c r="A25" s="84" t="s">
        <v>76</v>
      </c>
      <c r="B25" s="85"/>
      <c r="C25" s="85"/>
      <c r="D25" s="86"/>
    </row>
    <row r="26" spans="1:44" ht="15" thickBot="1" x14ac:dyDescent="0.35">
      <c r="A26" s="4" t="s">
        <v>11</v>
      </c>
      <c r="B26" s="7" t="s">
        <v>74</v>
      </c>
      <c r="C26" s="7" t="s">
        <v>75</v>
      </c>
      <c r="D26" s="7" t="s">
        <v>80</v>
      </c>
      <c r="E26" s="6" t="s">
        <v>64</v>
      </c>
      <c r="G26" s="38" t="s">
        <v>14</v>
      </c>
      <c r="H26" s="40" t="s">
        <v>24</v>
      </c>
      <c r="I26" s="38" t="s">
        <v>23</v>
      </c>
      <c r="J26" s="40" t="s">
        <v>15</v>
      </c>
      <c r="L26" s="38" t="s">
        <v>14</v>
      </c>
      <c r="M26" s="40" t="s">
        <v>24</v>
      </c>
      <c r="N26" s="38" t="s">
        <v>23</v>
      </c>
      <c r="O26" s="40" t="s">
        <v>15</v>
      </c>
      <c r="Q26" s="38" t="s">
        <v>14</v>
      </c>
      <c r="R26" s="40" t="s">
        <v>24</v>
      </c>
      <c r="S26" s="38" t="s">
        <v>23</v>
      </c>
      <c r="T26" s="40" t="s">
        <v>15</v>
      </c>
      <c r="V26" s="38" t="s">
        <v>14</v>
      </c>
      <c r="W26" s="40" t="s">
        <v>24</v>
      </c>
      <c r="X26" s="38" t="s">
        <v>23</v>
      </c>
      <c r="Y26" s="40" t="s">
        <v>15</v>
      </c>
      <c r="AA26" s="38" t="s">
        <v>14</v>
      </c>
      <c r="AB26" s="40" t="s">
        <v>24</v>
      </c>
      <c r="AC26" s="38" t="s">
        <v>23</v>
      </c>
      <c r="AD26" s="40" t="s">
        <v>15</v>
      </c>
      <c r="AF26" s="38" t="s">
        <v>14</v>
      </c>
      <c r="AG26" s="40" t="s">
        <v>24</v>
      </c>
      <c r="AH26" s="38" t="s">
        <v>23</v>
      </c>
      <c r="AI26" s="40" t="s">
        <v>15</v>
      </c>
      <c r="AK26" s="38" t="s">
        <v>14</v>
      </c>
      <c r="AL26" s="40" t="s">
        <v>24</v>
      </c>
      <c r="AM26" s="38" t="s">
        <v>23</v>
      </c>
      <c r="AN26" s="40" t="s">
        <v>15</v>
      </c>
      <c r="AP26" s="38" t="s">
        <v>14</v>
      </c>
      <c r="AQ26" s="40" t="s">
        <v>24</v>
      </c>
      <c r="AR26" s="38" t="s">
        <v>23</v>
      </c>
    </row>
    <row r="27" spans="1:44" ht="15" thickBot="1" x14ac:dyDescent="0.35">
      <c r="A27" s="1"/>
      <c r="B27" s="1">
        <v>1.5</v>
      </c>
      <c r="C27" s="1">
        <v>1</v>
      </c>
      <c r="D27" s="1">
        <v>0.5</v>
      </c>
      <c r="G27" s="40" t="s">
        <v>70</v>
      </c>
      <c r="H27" s="55">
        <f>(H23*H24)+H23</f>
        <v>30.400000000000002</v>
      </c>
      <c r="I27" s="29">
        <v>10</v>
      </c>
      <c r="J27" s="42">
        <f>H27/I27</f>
        <v>3.04</v>
      </c>
      <c r="L27" s="40" t="s">
        <v>70</v>
      </c>
      <c r="M27" s="41">
        <f>(M23*M24)+M23</f>
        <v>0</v>
      </c>
      <c r="N27" s="29">
        <v>10</v>
      </c>
      <c r="O27" s="42">
        <f>M27/N27</f>
        <v>0</v>
      </c>
      <c r="Q27" s="40" t="s">
        <v>70</v>
      </c>
      <c r="R27" s="41">
        <f>(R23*R24)+R23</f>
        <v>0</v>
      </c>
      <c r="S27" s="29">
        <v>10</v>
      </c>
      <c r="T27" s="42">
        <f>R27/S27</f>
        <v>0</v>
      </c>
      <c r="V27" s="40" t="s">
        <v>70</v>
      </c>
      <c r="W27" s="41">
        <f>(W23*W24)+W23</f>
        <v>0</v>
      </c>
      <c r="X27" s="29">
        <v>10</v>
      </c>
      <c r="Y27" s="42">
        <f>W27/X27</f>
        <v>0</v>
      </c>
      <c r="AA27" s="40" t="s">
        <v>70</v>
      </c>
      <c r="AB27" s="41">
        <f>(AB23*AB24)+AB23</f>
        <v>0</v>
      </c>
      <c r="AC27" s="29">
        <v>10</v>
      </c>
      <c r="AD27" s="42">
        <f>AB27/AC27</f>
        <v>0</v>
      </c>
      <c r="AF27" s="40" t="s">
        <v>70</v>
      </c>
      <c r="AG27" s="41">
        <f>(AG23*AG24)+AG23</f>
        <v>0</v>
      </c>
      <c r="AH27" s="29">
        <v>10</v>
      </c>
      <c r="AI27" s="42">
        <f>AG27/AH27</f>
        <v>0</v>
      </c>
      <c r="AK27" s="40" t="s">
        <v>70</v>
      </c>
      <c r="AL27" s="41">
        <f>(AL23*AL24)+AL23</f>
        <v>0</v>
      </c>
      <c r="AM27" s="29">
        <v>10</v>
      </c>
      <c r="AN27" s="42">
        <f>AL27/AM27</f>
        <v>0</v>
      </c>
      <c r="AP27" s="40" t="s">
        <v>70</v>
      </c>
      <c r="AQ27" s="41">
        <f>(AQ23*AQ24)+AQ23</f>
        <v>0</v>
      </c>
      <c r="AR27" s="29">
        <v>10</v>
      </c>
    </row>
    <row r="28" spans="1:44" ht="15" thickBot="1" x14ac:dyDescent="0.35">
      <c r="G28" s="40" t="s">
        <v>17</v>
      </c>
      <c r="H28" s="55">
        <f>H27*0.8</f>
        <v>24.320000000000004</v>
      </c>
      <c r="I28" s="29">
        <v>1</v>
      </c>
      <c r="J28" s="42">
        <f t="shared" ref="J28:J29" si="0">H28/I28</f>
        <v>24.320000000000004</v>
      </c>
      <c r="L28" s="40" t="s">
        <v>17</v>
      </c>
      <c r="M28" s="41">
        <f>M27*0.8</f>
        <v>0</v>
      </c>
      <c r="N28" s="29">
        <v>1</v>
      </c>
      <c r="O28" s="42">
        <f t="shared" ref="O28:O29" si="1">M28/N28</f>
        <v>0</v>
      </c>
      <c r="Q28" s="40" t="s">
        <v>17</v>
      </c>
      <c r="R28" s="41">
        <f>R27*0.8</f>
        <v>0</v>
      </c>
      <c r="S28" s="29">
        <v>1</v>
      </c>
      <c r="T28" s="42">
        <f t="shared" ref="T28:T29" si="2">R28/S28</f>
        <v>0</v>
      </c>
      <c r="V28" s="40" t="s">
        <v>17</v>
      </c>
      <c r="W28" s="41">
        <f>W27*0.8</f>
        <v>0</v>
      </c>
      <c r="X28" s="29">
        <v>1</v>
      </c>
      <c r="Y28" s="42">
        <f t="shared" ref="Y28:Y29" si="3">W28/X28</f>
        <v>0</v>
      </c>
      <c r="AA28" s="40" t="s">
        <v>17</v>
      </c>
      <c r="AB28" s="41">
        <f>AB27*0.8</f>
        <v>0</v>
      </c>
      <c r="AC28" s="29">
        <v>1</v>
      </c>
      <c r="AD28" s="42">
        <f t="shared" ref="AD28:AD29" si="4">AB28/AC28</f>
        <v>0</v>
      </c>
      <c r="AF28" s="40" t="s">
        <v>17</v>
      </c>
      <c r="AG28" s="41">
        <f>AG27*0.8</f>
        <v>0</v>
      </c>
      <c r="AH28" s="29">
        <v>1</v>
      </c>
      <c r="AI28" s="42">
        <f t="shared" ref="AI28:AI29" si="5">AG28/AH28</f>
        <v>0</v>
      </c>
      <c r="AK28" s="40" t="s">
        <v>17</v>
      </c>
      <c r="AL28" s="41">
        <f>AL27*0.8</f>
        <v>0</v>
      </c>
      <c r="AM28" s="29">
        <v>1</v>
      </c>
      <c r="AN28" s="42">
        <f t="shared" ref="AN28:AN29" si="6">AL28/AM28</f>
        <v>0</v>
      </c>
      <c r="AP28" s="40" t="s">
        <v>17</v>
      </c>
      <c r="AQ28" s="41">
        <f>AQ27*0.8</f>
        <v>0</v>
      </c>
      <c r="AR28" s="29">
        <v>1</v>
      </c>
    </row>
    <row r="29" spans="1:44" ht="15" thickBot="1" x14ac:dyDescent="0.35">
      <c r="G29" s="40" t="s">
        <v>18</v>
      </c>
      <c r="H29" s="55">
        <f>H27*0.9</f>
        <v>27.360000000000003</v>
      </c>
      <c r="I29" s="29">
        <v>3</v>
      </c>
      <c r="J29" s="42">
        <f t="shared" si="0"/>
        <v>9.120000000000001</v>
      </c>
      <c r="L29" s="40" t="s">
        <v>18</v>
      </c>
      <c r="M29" s="41">
        <f>M27*0.9</f>
        <v>0</v>
      </c>
      <c r="N29" s="29">
        <v>3</v>
      </c>
      <c r="O29" s="42">
        <f t="shared" si="1"/>
        <v>0</v>
      </c>
      <c r="Q29" s="40" t="s">
        <v>18</v>
      </c>
      <c r="R29" s="41">
        <f>R27*0.9</f>
        <v>0</v>
      </c>
      <c r="S29" s="29">
        <v>3</v>
      </c>
      <c r="T29" s="42">
        <f t="shared" si="2"/>
        <v>0</v>
      </c>
      <c r="V29" s="40" t="s">
        <v>18</v>
      </c>
      <c r="W29" s="41">
        <f>W27*0.9</f>
        <v>0</v>
      </c>
      <c r="X29" s="29">
        <v>3</v>
      </c>
      <c r="Y29" s="42">
        <f t="shared" si="3"/>
        <v>0</v>
      </c>
      <c r="AA29" s="40" t="s">
        <v>18</v>
      </c>
      <c r="AB29" s="41">
        <f>AB27*0.9</f>
        <v>0</v>
      </c>
      <c r="AC29" s="29">
        <v>3</v>
      </c>
      <c r="AD29" s="42">
        <f t="shared" si="4"/>
        <v>0</v>
      </c>
      <c r="AF29" s="40" t="s">
        <v>18</v>
      </c>
      <c r="AG29" s="41">
        <f>AG27*0.9</f>
        <v>0</v>
      </c>
      <c r="AH29" s="29">
        <v>3</v>
      </c>
      <c r="AI29" s="42">
        <f t="shared" si="5"/>
        <v>0</v>
      </c>
      <c r="AK29" s="40" t="s">
        <v>18</v>
      </c>
      <c r="AL29" s="41">
        <f>AL27*0.9</f>
        <v>0</v>
      </c>
      <c r="AM29" s="29">
        <v>3</v>
      </c>
      <c r="AN29" s="42">
        <f t="shared" si="6"/>
        <v>0</v>
      </c>
      <c r="AP29" s="40" t="s">
        <v>18</v>
      </c>
      <c r="AQ29" s="41">
        <f>AQ27*0.9</f>
        <v>0</v>
      </c>
      <c r="AR29" s="29">
        <v>3</v>
      </c>
    </row>
    <row r="30" spans="1:44" ht="15" thickBot="1" x14ac:dyDescent="0.35">
      <c r="G30" s="43"/>
      <c r="H30" s="44"/>
      <c r="I30" s="45"/>
      <c r="J30" s="44"/>
      <c r="L30" s="43"/>
      <c r="M30" s="44"/>
      <c r="N30" s="45"/>
      <c r="O30" s="44"/>
      <c r="Q30" s="43"/>
      <c r="R30" s="44"/>
      <c r="S30" s="45"/>
      <c r="T30" s="44"/>
      <c r="V30" s="43"/>
      <c r="W30" s="44"/>
      <c r="X30" s="45"/>
      <c r="Y30" s="44"/>
      <c r="AA30" s="43"/>
      <c r="AB30" s="44"/>
      <c r="AC30" s="45"/>
      <c r="AD30" s="44"/>
      <c r="AF30" s="43"/>
      <c r="AG30" s="44"/>
      <c r="AH30" s="45"/>
      <c r="AI30" s="44"/>
      <c r="AK30" s="43"/>
      <c r="AL30" s="44"/>
      <c r="AM30" s="45"/>
      <c r="AN30" s="44"/>
      <c r="AP30" s="43"/>
      <c r="AQ30" s="44"/>
      <c r="AR30" s="45"/>
    </row>
    <row r="31" spans="1:44" ht="15" thickBot="1" x14ac:dyDescent="0.35">
      <c r="G31" s="43"/>
      <c r="H31" s="40" t="s">
        <v>66</v>
      </c>
      <c r="I31" s="40" t="s">
        <v>67</v>
      </c>
      <c r="J31" s="40" t="s">
        <v>19</v>
      </c>
      <c r="L31" s="43"/>
      <c r="M31" s="40" t="s">
        <v>66</v>
      </c>
      <c r="N31" s="40" t="s">
        <v>67</v>
      </c>
      <c r="O31" s="40" t="s">
        <v>19</v>
      </c>
      <c r="Q31" s="43"/>
      <c r="R31" s="40" t="s">
        <v>66</v>
      </c>
      <c r="S31" s="40" t="s">
        <v>67</v>
      </c>
      <c r="T31" s="40" t="s">
        <v>19</v>
      </c>
      <c r="V31" s="43"/>
      <c r="W31" s="40" t="s">
        <v>66</v>
      </c>
      <c r="X31" s="40" t="s">
        <v>67</v>
      </c>
      <c r="Y31" s="40" t="s">
        <v>19</v>
      </c>
      <c r="AA31" s="43"/>
      <c r="AB31" s="40" t="s">
        <v>66</v>
      </c>
      <c r="AC31" s="40" t="s">
        <v>67</v>
      </c>
      <c r="AD31" s="40" t="s">
        <v>19</v>
      </c>
      <c r="AF31" s="43"/>
      <c r="AG31" s="40" t="s">
        <v>66</v>
      </c>
      <c r="AH31" s="40" t="s">
        <v>67</v>
      </c>
      <c r="AI31" s="40" t="s">
        <v>19</v>
      </c>
      <c r="AK31" s="43"/>
      <c r="AL31" s="40" t="s">
        <v>66</v>
      </c>
      <c r="AM31" s="40" t="s">
        <v>67</v>
      </c>
      <c r="AN31" s="40" t="s">
        <v>19</v>
      </c>
      <c r="AP31" s="43"/>
      <c r="AQ31" s="40" t="s">
        <v>66</v>
      </c>
      <c r="AR31" s="40" t="s">
        <v>67</v>
      </c>
    </row>
    <row r="32" spans="1:44" x14ac:dyDescent="0.3">
      <c r="G32" s="46" t="s">
        <v>22</v>
      </c>
      <c r="H32" s="27"/>
      <c r="I32" s="29"/>
      <c r="J32" s="37">
        <f>H28-H23</f>
        <v>9.1200000000000028</v>
      </c>
      <c r="L32" s="46" t="s">
        <v>22</v>
      </c>
      <c r="M32" s="27"/>
      <c r="N32" s="29"/>
      <c r="O32" s="37">
        <f>M28-M23</f>
        <v>0</v>
      </c>
      <c r="Q32" s="46" t="s">
        <v>22</v>
      </c>
      <c r="R32" s="27"/>
      <c r="S32" s="29"/>
      <c r="T32" s="37">
        <f>R28-R23</f>
        <v>0</v>
      </c>
      <c r="V32" s="46" t="s">
        <v>22</v>
      </c>
      <c r="W32" s="27"/>
      <c r="X32" s="29"/>
      <c r="Y32" s="37">
        <f>W28-W23</f>
        <v>0</v>
      </c>
      <c r="AA32" s="46" t="s">
        <v>22</v>
      </c>
      <c r="AB32" s="27"/>
      <c r="AC32" s="29"/>
      <c r="AD32" s="37">
        <f>AB28-AB23</f>
        <v>0</v>
      </c>
      <c r="AF32" s="46" t="s">
        <v>22</v>
      </c>
      <c r="AG32" s="27"/>
      <c r="AH32" s="29"/>
      <c r="AI32" s="37">
        <f>AG28-AG23</f>
        <v>0</v>
      </c>
      <c r="AK32" s="46" t="s">
        <v>22</v>
      </c>
      <c r="AL32" s="27"/>
      <c r="AM32" s="29"/>
      <c r="AN32" s="37">
        <f>AL28-AL23</f>
        <v>0</v>
      </c>
      <c r="AP32" s="46" t="s">
        <v>22</v>
      </c>
      <c r="AQ32" s="27"/>
      <c r="AR32" s="29"/>
    </row>
    <row r="33" spans="7:44" x14ac:dyDescent="0.3">
      <c r="G33" s="46" t="s">
        <v>21</v>
      </c>
      <c r="H33" s="47">
        <v>6.1899999999999997E-2</v>
      </c>
      <c r="I33" s="48">
        <f>H29*H33</f>
        <v>1.6935840000000002</v>
      </c>
      <c r="J33" s="37">
        <f>H29-H23-I33</f>
        <v>10.466416000000002</v>
      </c>
      <c r="L33" s="46" t="s">
        <v>21</v>
      </c>
      <c r="M33" s="47">
        <v>6.1899999999999997E-2</v>
      </c>
      <c r="N33" s="48">
        <f>M29*M33</f>
        <v>0</v>
      </c>
      <c r="O33" s="37">
        <f>M29-M23-N33</f>
        <v>0</v>
      </c>
      <c r="Q33" s="46" t="s">
        <v>21</v>
      </c>
      <c r="R33" s="47">
        <v>6.1899999999999997E-2</v>
      </c>
      <c r="S33" s="48">
        <f>R29*R33</f>
        <v>0</v>
      </c>
      <c r="T33" s="37">
        <f>R29-R23-S33</f>
        <v>0</v>
      </c>
      <c r="V33" s="46" t="s">
        <v>21</v>
      </c>
      <c r="W33" s="47">
        <v>6.1899999999999997E-2</v>
      </c>
      <c r="X33" s="48">
        <f>W29*W33</f>
        <v>0</v>
      </c>
      <c r="Y33" s="37">
        <f>W29-W23-X33</f>
        <v>0</v>
      </c>
      <c r="AA33" s="46" t="s">
        <v>21</v>
      </c>
      <c r="AB33" s="47">
        <v>6.1899999999999997E-2</v>
      </c>
      <c r="AC33" s="48">
        <f>AB29*AB33</f>
        <v>0</v>
      </c>
      <c r="AD33" s="37">
        <f>AB29-AB23-AC33</f>
        <v>0</v>
      </c>
      <c r="AF33" s="46" t="s">
        <v>21</v>
      </c>
      <c r="AG33" s="47">
        <v>6.1899999999999997E-2</v>
      </c>
      <c r="AH33" s="48">
        <f>AG29*AG33</f>
        <v>0</v>
      </c>
      <c r="AI33" s="37">
        <f>AG29-AG23-AH33</f>
        <v>0</v>
      </c>
      <c r="AK33" s="46" t="s">
        <v>21</v>
      </c>
      <c r="AL33" s="47">
        <v>6.1899999999999997E-2</v>
      </c>
      <c r="AM33" s="48">
        <f>AL29*AL33</f>
        <v>0</v>
      </c>
      <c r="AN33" s="37">
        <f>AL29-AL23-AM33</f>
        <v>0</v>
      </c>
      <c r="AP33" s="46" t="s">
        <v>21</v>
      </c>
      <c r="AQ33" s="47">
        <v>6.1899999999999997E-2</v>
      </c>
      <c r="AR33" s="48">
        <f>AQ29*AQ33</f>
        <v>0</v>
      </c>
    </row>
    <row r="34" spans="7:44" x14ac:dyDescent="0.3">
      <c r="G34" s="46" t="s">
        <v>20</v>
      </c>
      <c r="H34" s="47">
        <v>0.1149</v>
      </c>
      <c r="I34" s="48">
        <f>H27*H34</f>
        <v>3.4929600000000005</v>
      </c>
      <c r="J34" s="37">
        <f>H27-H23-I34</f>
        <v>11.707040000000001</v>
      </c>
      <c r="L34" s="46" t="s">
        <v>20</v>
      </c>
      <c r="M34" s="47">
        <v>0.1149</v>
      </c>
      <c r="N34" s="48">
        <f>M27*M34</f>
        <v>0</v>
      </c>
      <c r="O34" s="37">
        <f>M27-M23-N34</f>
        <v>0</v>
      </c>
      <c r="Q34" s="46" t="s">
        <v>20</v>
      </c>
      <c r="R34" s="47">
        <v>0.1149</v>
      </c>
      <c r="S34" s="48">
        <f>R27*R34</f>
        <v>0</v>
      </c>
      <c r="T34" s="37">
        <f>R27-R23-S34</f>
        <v>0</v>
      </c>
      <c r="V34" s="46" t="s">
        <v>20</v>
      </c>
      <c r="W34" s="47">
        <v>0.1149</v>
      </c>
      <c r="X34" s="48">
        <f>W27*W34</f>
        <v>0</v>
      </c>
      <c r="Y34" s="37">
        <f>W27-W23-X34</f>
        <v>0</v>
      </c>
      <c r="AA34" s="46" t="s">
        <v>20</v>
      </c>
      <c r="AB34" s="47">
        <v>0.1149</v>
      </c>
      <c r="AC34" s="48">
        <f>AB27*AB34</f>
        <v>0</v>
      </c>
      <c r="AD34" s="37">
        <f>AB27-AB23-AC34</f>
        <v>0</v>
      </c>
      <c r="AF34" s="46" t="s">
        <v>20</v>
      </c>
      <c r="AG34" s="47">
        <v>0.1149</v>
      </c>
      <c r="AH34" s="48">
        <f>AG27*AG34</f>
        <v>0</v>
      </c>
      <c r="AI34" s="37">
        <f>AG27-AG23-AH34</f>
        <v>0</v>
      </c>
      <c r="AK34" s="46" t="s">
        <v>20</v>
      </c>
      <c r="AL34" s="47">
        <v>0.1149</v>
      </c>
      <c r="AM34" s="48">
        <f>AL27*AL34</f>
        <v>0</v>
      </c>
      <c r="AN34" s="37">
        <f>AL27-AL23-AM34</f>
        <v>0</v>
      </c>
      <c r="AP34" s="46" t="s">
        <v>20</v>
      </c>
      <c r="AQ34" s="47">
        <v>0.1149</v>
      </c>
      <c r="AR34" s="48">
        <f>AQ27*AQ34</f>
        <v>0</v>
      </c>
    </row>
  </sheetData>
  <mergeCells count="30">
    <mergeCell ref="AQ6:AR6"/>
    <mergeCell ref="AP7:AP8"/>
    <mergeCell ref="AP10:AR10"/>
    <mergeCell ref="V10:X10"/>
    <mergeCell ref="V7:V8"/>
    <mergeCell ref="W6:X6"/>
    <mergeCell ref="AG6:AH6"/>
    <mergeCell ref="AF7:AF8"/>
    <mergeCell ref="AF10:AH10"/>
    <mergeCell ref="AL6:AM6"/>
    <mergeCell ref="AK7:AK8"/>
    <mergeCell ref="AK10:AM10"/>
    <mergeCell ref="AB6:AC6"/>
    <mergeCell ref="AA7:AA8"/>
    <mergeCell ref="AA10:AC10"/>
    <mergeCell ref="R6:S6"/>
    <mergeCell ref="Q7:Q8"/>
    <mergeCell ref="Q10:S10"/>
    <mergeCell ref="H1:I1"/>
    <mergeCell ref="H2:I2"/>
    <mergeCell ref="H3:I3"/>
    <mergeCell ref="H4:I4"/>
    <mergeCell ref="G10:I10"/>
    <mergeCell ref="H6:I6"/>
    <mergeCell ref="G7:G8"/>
    <mergeCell ref="A20:D20"/>
    <mergeCell ref="A25:D25"/>
    <mergeCell ref="M6:N6"/>
    <mergeCell ref="L7:L8"/>
    <mergeCell ref="L10:N10"/>
  </mergeCells>
  <dataValidations count="6">
    <dataValidation type="list" allowBlank="1" showInputMessage="1" showErrorMessage="1" sqref="M11 AQ11 R11 W11 AB11 AL11 AG11 H11">
      <formula1>$B$1:$B$4</formula1>
    </dataValidation>
    <dataValidation type="list" allowBlank="1" showInputMessage="1" showErrorMessage="1" sqref="M12:M14 M18 AQ12:AQ14 AQ18 R12:R14 R18 W12:W14 W18 AB12:AB14 AB18 AL12:AL14 AL18 AG12:AG14 AG18 H12:H14 H18">
      <formula1>$B$5:$C$5</formula1>
    </dataValidation>
    <dataValidation type="list" allowBlank="1" showInputMessage="1" showErrorMessage="1" sqref="M15 AQ15 R15 W15 AB15 AL15 AG15 H15">
      <formula1>$B$7:$B$9</formula1>
    </dataValidation>
    <dataValidation type="list" allowBlank="1" showInputMessage="1" showErrorMessage="1" sqref="M16 AQ16 R16 W16 AB16 AL16 AG16 H16">
      <formula1>$B$10:$B$12</formula1>
    </dataValidation>
    <dataValidation type="list" allowBlank="1" showInputMessage="1" showErrorMessage="1" sqref="M17 AQ17 R17 W17 AB17 AL17 AG17 H17">
      <formula1>$B$13:$B$15</formula1>
    </dataValidation>
    <dataValidation type="list" allowBlank="1" showInputMessage="1" showErrorMessage="1" sqref="M19 AQ19 W19 H19 AB19 AL19 AG19 R19">
      <formula1>$B$26:$E$26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showGridLines="0" zoomScaleNormal="100" workbookViewId="0">
      <selection activeCell="C17" sqref="C17"/>
    </sheetView>
  </sheetViews>
  <sheetFormatPr defaultRowHeight="14.4" x14ac:dyDescent="0.3"/>
  <cols>
    <col min="1" max="1" width="20" customWidth="1"/>
    <col min="2" max="2" width="61.33203125" customWidth="1"/>
    <col min="3" max="3" width="21.33203125" customWidth="1"/>
  </cols>
  <sheetData>
    <row r="1" spans="1:3" s="74" customFormat="1" ht="32.4" x14ac:dyDescent="0.7">
      <c r="A1" s="73" t="s">
        <v>91</v>
      </c>
      <c r="B1" s="63" t="str">
        <f>CONCATENATE('MEMÓRIA DE CÁLCULO'!G5," ",'MEMÓRIA DE CÁLCULO'!H5)</f>
        <v xml:space="preserve"> </v>
      </c>
    </row>
    <row r="2" spans="1:3" ht="3" customHeight="1" x14ac:dyDescent="0.3"/>
    <row r="3" spans="1:3" x14ac:dyDescent="0.3">
      <c r="A3" s="63" t="s">
        <v>88</v>
      </c>
      <c r="B3">
        <f>'MEMÓRIA DE CÁLCULO'!H1</f>
        <v>0</v>
      </c>
    </row>
    <row r="4" spans="1:3" x14ac:dyDescent="0.3">
      <c r="A4" s="63" t="s">
        <v>30</v>
      </c>
      <c r="B4">
        <f>'MEMÓRIA DE CÁLCULO'!H2</f>
        <v>0</v>
      </c>
    </row>
    <row r="5" spans="1:3" x14ac:dyDescent="0.3">
      <c r="A5" s="63" t="s">
        <v>31</v>
      </c>
      <c r="B5">
        <f>'MEMÓRIA DE CÁLCULO'!H3</f>
        <v>0</v>
      </c>
    </row>
    <row r="6" spans="1:3" x14ac:dyDescent="0.3">
      <c r="A6" s="63" t="s">
        <v>32</v>
      </c>
      <c r="B6">
        <f>'MEMÓRIA DE CÁLCULO'!H4</f>
        <v>0</v>
      </c>
    </row>
    <row r="7" spans="1:3" x14ac:dyDescent="0.3">
      <c r="A7" s="63" t="s">
        <v>87</v>
      </c>
      <c r="B7" s="21">
        <f ca="1">TODAY()</f>
        <v>45768</v>
      </c>
    </row>
    <row r="8" spans="1:3" ht="8.25" customHeight="1" thickBot="1" x14ac:dyDescent="0.35">
      <c r="A8" s="102"/>
      <c r="B8" s="102"/>
      <c r="C8" s="102"/>
    </row>
    <row r="9" spans="1:3" ht="16.5" customHeight="1" x14ac:dyDescent="0.3">
      <c r="A9" s="111" t="s">
        <v>25</v>
      </c>
      <c r="B9" s="113" t="s">
        <v>26</v>
      </c>
      <c r="C9" s="103" t="s">
        <v>16</v>
      </c>
    </row>
    <row r="10" spans="1:3" ht="15" thickBot="1" x14ac:dyDescent="0.35">
      <c r="A10" s="112" t="s">
        <v>25</v>
      </c>
      <c r="B10" s="114"/>
      <c r="C10" s="104"/>
    </row>
    <row r="11" spans="1:3" x14ac:dyDescent="0.3">
      <c r="A11" s="67">
        <f>'MEMÓRIA DE CÁLCULO'!H6</f>
        <v>0</v>
      </c>
      <c r="B11" s="68" t="str">
        <f>CONCATENATE('MEMÓRIA DE CÁLCULO'!G11," ",'MEMÓRIA DE CÁLCULO'!H11," - ",'MEMÓRIA DE CÁLCULO'!G15," "," - ",'MEMÓRIA DE CÁLCULO'!G16," ",'MEMÓRIA DE CÁLCULO'!H16," - ",'MEMÓRIA DE CÁLCULO'!G17," ",'MEMÓRIA DE CÁLCULO'!H17)</f>
        <v>TRILHO DUPLO - BLACKOUT  - TECIDO LINHO - PREGAS WAVE</v>
      </c>
      <c r="C11" s="65">
        <f>'MEMÓRIA DE CÁLCULO'!H27</f>
        <v>30.400000000000002</v>
      </c>
    </row>
    <row r="12" spans="1:3" ht="18" customHeight="1" x14ac:dyDescent="0.3">
      <c r="A12" s="69">
        <f>'MEMÓRIA DE CÁLCULO'!M6</f>
        <v>0</v>
      </c>
      <c r="B12" s="64" t="str">
        <f>CONCATENATE('MEMÓRIA DE CÁLCULO'!L11," ",'MEMÓRIA DE CÁLCULO'!M11," - ",'MEMÓRIA DE CÁLCULO'!L15," "," - ",'MEMÓRIA DE CÁLCULO'!L16," ",'MEMÓRIA DE CÁLCULO'!M16," - ",'MEMÓRIA DE CÁLCULO'!L17," ",'MEMÓRIA DE CÁLCULO'!H17)</f>
        <v>TRILHO DUPLO - BLACKOUT  - TECIDO LINHO - PREGAS WAVE</v>
      </c>
      <c r="C12" s="66">
        <f>'MEMÓRIA DE CÁLCULO'!M27</f>
        <v>0</v>
      </c>
    </row>
    <row r="13" spans="1:3" ht="18" customHeight="1" x14ac:dyDescent="0.3">
      <c r="A13" s="69">
        <f>'MEMÓRIA DE CÁLCULO'!R6</f>
        <v>0</v>
      </c>
      <c r="B13" s="64" t="str">
        <f>CONCATENATE('MEMÓRIA DE CÁLCULO'!Q11," ",'MEMÓRIA DE CÁLCULO'!R11," - ",'MEMÓRIA DE CÁLCULO'!Q15," "," - ",'MEMÓRIA DE CÁLCULO'!Q16," ",'MEMÓRIA DE CÁLCULO'!R16," - ",'MEMÓRIA DE CÁLCULO'!Q17," ",'MEMÓRIA DE CÁLCULO'!R17)</f>
        <v>TRILHO DUPLO - BLACKOUT  - TECIDO LINHO - PREGAS WAVE</v>
      </c>
      <c r="C13" s="66">
        <f>'MEMÓRIA DE CÁLCULO'!R27</f>
        <v>0</v>
      </c>
    </row>
    <row r="14" spans="1:3" ht="18" customHeight="1" thickBot="1" x14ac:dyDescent="0.35">
      <c r="A14" s="70">
        <f>'MEMÓRIA DE CÁLCULO'!W6</f>
        <v>0</v>
      </c>
      <c r="B14" s="64" t="str">
        <f>CONCATENATE('MEMÓRIA DE CÁLCULO'!L11," ",'MEMÓRIA DE CÁLCULO'!M11," - ",'MEMÓRIA DE CÁLCULO'!L15," "," - ",'MEMÓRIA DE CÁLCULO'!L16," ",'MEMÓRIA DE CÁLCULO'!M16," - ",'MEMÓRIA DE CÁLCULO'!L17," ",'MEMÓRIA DE CÁLCULO'!H17)</f>
        <v>TRILHO DUPLO - BLACKOUT  - TECIDO LINHO - PREGAS WAVE</v>
      </c>
      <c r="C14" s="66">
        <f>'MEMÓRIA DE CÁLCULO'!W27</f>
        <v>0</v>
      </c>
    </row>
    <row r="15" spans="1:3" ht="18" hidden="1" customHeight="1" thickBot="1" x14ac:dyDescent="0.35">
      <c r="A15" s="70">
        <f>'MEMÓRIA DE CÁLCULO'!AB6</f>
        <v>5</v>
      </c>
      <c r="B15" s="64" t="str">
        <f>CONCATENATE('MEMÓRIA DE CÁLCULO'!V11," ",'MEMÓRIA DE CÁLCULO'!W11," - ",'MEMÓRIA DE CÁLCULO'!V15," "," - ",'MEMÓRIA DE CÁLCULO'!V16," ",'MEMÓRIA DE CÁLCULO'!W16," - ",'MEMÓRIA DE CÁLCULO'!V17," ",'MEMÓRIA DE CÁLCULO'!W17)</f>
        <v>TRILHO DUPLO - BLACKOUT  - TECIDO LINHO - PREGAS WAVE</v>
      </c>
      <c r="C15" s="66">
        <f>'MEMÓRIA DE CÁLCULO'!AB27</f>
        <v>0</v>
      </c>
    </row>
    <row r="16" spans="1:3" ht="30" customHeight="1" thickBot="1" x14ac:dyDescent="0.35">
      <c r="A16" s="105" t="s">
        <v>33</v>
      </c>
      <c r="B16" s="106"/>
      <c r="C16" s="71">
        <f>SUM(C11:C15)</f>
        <v>30.400000000000002</v>
      </c>
    </row>
    <row r="17" spans="1:9" ht="25.95" customHeight="1" x14ac:dyDescent="0.3">
      <c r="A17" s="107" t="s">
        <v>82</v>
      </c>
      <c r="B17" s="108"/>
      <c r="C17" s="80">
        <v>0.2</v>
      </c>
    </row>
    <row r="18" spans="1:9" ht="32.4" customHeight="1" x14ac:dyDescent="0.3">
      <c r="A18" s="109" t="s">
        <v>92</v>
      </c>
      <c r="B18" s="110"/>
      <c r="C18" s="72">
        <f>C16-(C16*C17)</f>
        <v>24.32</v>
      </c>
    </row>
    <row r="19" spans="1:9" ht="32.4" customHeight="1" x14ac:dyDescent="0.35">
      <c r="A19" s="99" t="s">
        <v>45</v>
      </c>
      <c r="B19" s="100"/>
      <c r="C19" s="101"/>
      <c r="I19" s="56"/>
    </row>
    <row r="20" spans="1:9" ht="15.6" x14ac:dyDescent="0.3">
      <c r="A20" s="49" t="s">
        <v>43</v>
      </c>
      <c r="B20" s="10" t="s">
        <v>44</v>
      </c>
      <c r="C20" s="11"/>
    </row>
    <row r="21" spans="1:9" ht="15.6" x14ac:dyDescent="0.3">
      <c r="A21" s="20" t="s">
        <v>42</v>
      </c>
      <c r="B21" t="s">
        <v>89</v>
      </c>
      <c r="C21" s="6"/>
    </row>
    <row r="22" spans="1:9" x14ac:dyDescent="0.3">
      <c r="A22" s="25"/>
      <c r="B22" t="s">
        <v>83</v>
      </c>
      <c r="C22" s="6"/>
    </row>
    <row r="23" spans="1:9" ht="15.6" x14ac:dyDescent="0.3">
      <c r="A23" s="22"/>
      <c r="C23" s="6"/>
    </row>
    <row r="24" spans="1:9" ht="15.6" x14ac:dyDescent="0.3">
      <c r="A24" s="50" t="s">
        <v>27</v>
      </c>
      <c r="B24" s="23"/>
      <c r="C24" s="24"/>
    </row>
    <row r="25" spans="1:9" ht="15.6" x14ac:dyDescent="0.3">
      <c r="A25" s="96" t="s">
        <v>28</v>
      </c>
      <c r="B25" s="97"/>
      <c r="C25" s="98"/>
    </row>
    <row r="26" spans="1:9" ht="15.6" x14ac:dyDescent="0.3">
      <c r="A26" s="9" t="s">
        <v>37</v>
      </c>
      <c r="B26" s="18" t="s">
        <v>36</v>
      </c>
      <c r="C26" s="19" t="s">
        <v>40</v>
      </c>
    </row>
    <row r="27" spans="1:9" ht="24" customHeight="1" x14ac:dyDescent="0.3">
      <c r="A27" s="12" t="s">
        <v>34</v>
      </c>
      <c r="B27" s="13" t="s">
        <v>84</v>
      </c>
      <c r="C27" s="14">
        <f>C18</f>
        <v>24.32</v>
      </c>
    </row>
    <row r="28" spans="1:9" ht="15.6" x14ac:dyDescent="0.3">
      <c r="A28" s="12" t="s">
        <v>35</v>
      </c>
      <c r="B28" s="13" t="s">
        <v>38</v>
      </c>
      <c r="C28" s="14">
        <f>(C16*0.9)/3</f>
        <v>9.120000000000001</v>
      </c>
    </row>
    <row r="29" spans="1:9" ht="15.6" x14ac:dyDescent="0.3">
      <c r="A29" s="15" t="s">
        <v>81</v>
      </c>
      <c r="B29" s="16" t="s">
        <v>39</v>
      </c>
      <c r="C29" s="17">
        <f>C16/10</f>
        <v>3.04</v>
      </c>
    </row>
    <row r="30" spans="1:9" ht="15.6" x14ac:dyDescent="0.3">
      <c r="A30" s="77"/>
      <c r="B30" s="10"/>
      <c r="C30" s="10"/>
    </row>
    <row r="31" spans="1:9" ht="15.6" x14ac:dyDescent="0.3">
      <c r="A31" s="78"/>
      <c r="B31" s="79"/>
      <c r="C31" s="79"/>
    </row>
  </sheetData>
  <mergeCells count="9">
    <mergeCell ref="A25:C25"/>
    <mergeCell ref="A19:C19"/>
    <mergeCell ref="A8:C8"/>
    <mergeCell ref="C9:C10"/>
    <mergeCell ref="A16:B16"/>
    <mergeCell ref="A17:B17"/>
    <mergeCell ref="A18:B18"/>
    <mergeCell ref="A9:A10"/>
    <mergeCell ref="B9:B10"/>
  </mergeCells>
  <pageMargins left="0.31496062992125984" right="0.31496062992125984" top="0.78740157480314965" bottom="0.78740157480314965" header="0.31496062992125984" footer="0.31496062992125984"/>
  <pageSetup paperSize="9" scale="94" fitToHeight="0" orientation="portrait" horizontalDpi="4294967293" verticalDpi="4294967293" r:id="rId1"/>
  <headerFooter>
    <oddFooter xml:space="preserve">&amp;L&amp;"-,Negrito"Contatos:&amp;"-,Regular" roses.designer.interiores@gmail.com - (27) 99822-0461 - @roses_cortinas_persianas 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MEMÓRIA DE CÁLCULO</vt:lpstr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2025-04-15T22:21:04Z</cp:lastPrinted>
  <dcterms:created xsi:type="dcterms:W3CDTF">2024-03-28T14:20:32Z</dcterms:created>
  <dcterms:modified xsi:type="dcterms:W3CDTF">2025-04-21T20:15:31Z</dcterms:modified>
</cp:coreProperties>
</file>